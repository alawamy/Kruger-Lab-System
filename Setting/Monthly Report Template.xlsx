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lant Reports\Setting\"/>
    </mc:Choice>
  </mc:AlternateContent>
  <bookViews>
    <workbookView xWindow="-108" yWindow="-108" windowWidth="23256" windowHeight="12576" tabRatio="554"/>
  </bookViews>
  <sheets>
    <sheet name="Main" sheetId="8" r:id="rId1"/>
    <sheet name="الاحصائية" sheetId="6" r:id="rId2"/>
    <sheet name="الاحصائية (2)" sheetId="9" r:id="rId3"/>
    <sheet name="تقرير المواد الصلبة" sheetId="2" r:id="rId4"/>
  </sheets>
  <definedNames>
    <definedName name="_xlnm._FilterDatabase" localSheetId="3" hidden="1">'تقرير المواد الصلبة'!$C$43:$J$43</definedName>
    <definedName name="_xlnm.Print_Area" localSheetId="0">Main!$A$1:$W$60</definedName>
    <definedName name="_xlnm.Print_Area" localSheetId="1">الاحصائية!$A$1:$V$22</definedName>
    <definedName name="_xlnm.Print_Area" localSheetId="2">'الاحصائية (2)'!$A$1:$M$18</definedName>
    <definedName name="_xlnm.Print_Area" localSheetId="3">'تقرير المواد الصلبة'!$A$1:$J$49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4" i="8" l="1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V48" i="8"/>
  <c r="V47" i="8" l="1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C46" i="8"/>
  <c r="C45" i="8"/>
  <c r="G10" i="9" l="1"/>
  <c r="L10" i="9" s="1"/>
  <c r="B10" i="9"/>
  <c r="G59" i="8" l="1"/>
  <c r="H48" i="8"/>
  <c r="I48" i="8"/>
  <c r="L48" i="8"/>
  <c r="M48" i="8"/>
  <c r="N48" i="8"/>
  <c r="O48" i="8"/>
  <c r="P48" i="8"/>
  <c r="Q48" i="8"/>
  <c r="R48" i="8"/>
  <c r="S48" i="8"/>
  <c r="T48" i="8"/>
  <c r="U48" i="8"/>
  <c r="G48" i="8"/>
  <c r="F48" i="8"/>
  <c r="E48" i="8"/>
  <c r="D48" i="8"/>
  <c r="C48" i="8"/>
  <c r="Y38" i="8" l="1"/>
  <c r="Y39" i="8"/>
  <c r="Y40" i="8"/>
  <c r="Z38" i="8"/>
  <c r="Z39" i="8"/>
  <c r="Z40" i="8"/>
  <c r="AA38" i="8"/>
  <c r="AA39" i="8"/>
  <c r="AA40" i="8"/>
  <c r="Y42" i="8"/>
  <c r="Z42" i="8"/>
  <c r="AA42" i="8"/>
  <c r="Y31" i="8"/>
  <c r="Z31" i="8"/>
  <c r="AA31" i="8"/>
  <c r="Y27" i="8"/>
  <c r="Z27" i="8"/>
  <c r="AA27" i="8"/>
  <c r="Y26" i="8"/>
  <c r="Z26" i="8"/>
  <c r="AA26" i="8"/>
  <c r="F59" i="8"/>
  <c r="H59" i="8"/>
  <c r="I59" i="8"/>
  <c r="J59" i="8"/>
  <c r="K59" i="8"/>
  <c r="N59" i="8"/>
  <c r="O59" i="8"/>
  <c r="P59" i="8"/>
  <c r="Q59" i="8"/>
  <c r="R59" i="8"/>
  <c r="S59" i="8"/>
  <c r="T59" i="8"/>
  <c r="U59" i="8"/>
  <c r="V59" i="8"/>
  <c r="Z58" i="8" l="1"/>
  <c r="N12" i="6" s="1"/>
  <c r="Y58" i="8"/>
  <c r="I12" i="6" s="1"/>
  <c r="Q12" i="6" l="1"/>
  <c r="O12" i="6"/>
  <c r="P12" i="6" s="1"/>
  <c r="L12" i="6"/>
  <c r="M12" i="6" s="1"/>
  <c r="G12" i="6"/>
  <c r="B12" i="6"/>
  <c r="K12" i="6" l="1"/>
  <c r="S12" i="6"/>
  <c r="T12" i="6"/>
  <c r="H12" i="6"/>
  <c r="J12" i="6" s="1"/>
  <c r="R12" i="6"/>
  <c r="Y20" i="8"/>
  <c r="Z20" i="8"/>
  <c r="AA20" i="8"/>
  <c r="U12" i="6" l="1"/>
  <c r="V12" i="6"/>
  <c r="Z54" i="8"/>
  <c r="Q13" i="6" s="1"/>
  <c r="T13" i="6" s="1"/>
  <c r="Z55" i="8"/>
  <c r="Q14" i="6" s="1"/>
  <c r="O13" i="6"/>
  <c r="R13" i="6" s="1"/>
  <c r="O14" i="6"/>
  <c r="R14" i="6" s="1"/>
  <c r="G11" i="6"/>
  <c r="L11" i="6"/>
  <c r="O11" i="6"/>
  <c r="O10" i="6"/>
  <c r="L10" i="6"/>
  <c r="G10" i="6"/>
  <c r="B11" i="6"/>
  <c r="B13" i="6"/>
  <c r="B14" i="6"/>
  <c r="B10" i="6"/>
  <c r="H57" i="8"/>
  <c r="I57" i="8"/>
  <c r="J57" i="8"/>
  <c r="K57" i="8"/>
  <c r="N57" i="8"/>
  <c r="O57" i="8"/>
  <c r="P57" i="8"/>
  <c r="Q57" i="8"/>
  <c r="R57" i="8"/>
  <c r="S57" i="8"/>
  <c r="T57" i="8"/>
  <c r="U57" i="8"/>
  <c r="V57" i="8"/>
  <c r="AA56" i="8" s="1"/>
  <c r="Q10" i="6" s="1"/>
  <c r="H58" i="8"/>
  <c r="I58" i="8"/>
  <c r="J58" i="8"/>
  <c r="K58" i="8"/>
  <c r="N58" i="8"/>
  <c r="O58" i="8"/>
  <c r="P58" i="8"/>
  <c r="Q58" i="8"/>
  <c r="R58" i="8"/>
  <c r="S58" i="8"/>
  <c r="T58" i="8"/>
  <c r="U58" i="8"/>
  <c r="V58" i="8"/>
  <c r="AA57" i="8" s="1"/>
  <c r="Q11" i="6" s="1"/>
  <c r="G58" i="8"/>
  <c r="G57" i="8"/>
  <c r="F57" i="8"/>
  <c r="F58" i="8"/>
  <c r="E58" i="8"/>
  <c r="E57" i="8"/>
  <c r="C58" i="8"/>
  <c r="D58" i="8"/>
  <c r="D57" i="8"/>
  <c r="C57" i="8"/>
  <c r="AA47" i="8"/>
  <c r="Q9" i="6" s="1"/>
  <c r="R10" i="6" l="1"/>
  <c r="P13" i="6"/>
  <c r="S13" i="6" s="1"/>
  <c r="U13" i="6" s="1"/>
  <c r="P11" i="6"/>
  <c r="P14" i="6"/>
  <c r="S14" i="6" s="1"/>
  <c r="U14" i="6" s="1"/>
  <c r="T14" i="6"/>
  <c r="V14" i="6" s="1"/>
  <c r="V13" i="6"/>
  <c r="R11" i="6"/>
  <c r="P10" i="6"/>
  <c r="Z57" i="8"/>
  <c r="N11" i="6" s="1"/>
  <c r="T11" i="6" s="1"/>
  <c r="Y57" i="8"/>
  <c r="I11" i="6" s="1"/>
  <c r="H11" i="6" s="1"/>
  <c r="J11" i="6" s="1"/>
  <c r="Z56" i="8"/>
  <c r="N10" i="6" s="1"/>
  <c r="T10" i="6" s="1"/>
  <c r="Y56" i="8"/>
  <c r="I10" i="6" s="1"/>
  <c r="K10" i="6" s="1"/>
  <c r="Y47" i="8"/>
  <c r="I9" i="6" s="1"/>
  <c r="Z47" i="8"/>
  <c r="N9" i="6" s="1"/>
  <c r="G47" i="8"/>
  <c r="C47" i="8"/>
  <c r="V10" i="6" l="1"/>
  <c r="M10" i="6"/>
  <c r="S10" i="6" s="1"/>
  <c r="U10" i="6" s="1"/>
  <c r="V11" i="6"/>
  <c r="K11" i="6"/>
  <c r="H10" i="6"/>
  <c r="J10" i="6" s="1"/>
  <c r="M11" i="6"/>
  <c r="S11" i="6" s="1"/>
  <c r="U11" i="6" s="1"/>
  <c r="Q14" i="9"/>
  <c r="G9" i="9" l="1"/>
  <c r="P44" i="2" l="1"/>
  <c r="O44" i="2"/>
  <c r="H9" i="9"/>
  <c r="O9" i="6"/>
  <c r="L9" i="6"/>
  <c r="G9" i="6"/>
  <c r="K9" i="9"/>
  <c r="J9" i="9"/>
  <c r="I9" i="9"/>
  <c r="J5" i="9"/>
  <c r="K5" i="9"/>
  <c r="Q5" i="6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P5" i="6"/>
  <c r="W47" i="8"/>
  <c r="U47" i="8"/>
  <c r="T47" i="8"/>
  <c r="S47" i="8"/>
  <c r="R47" i="8"/>
  <c r="Q47" i="8"/>
  <c r="P47" i="8"/>
  <c r="O47" i="8"/>
  <c r="N47" i="8"/>
  <c r="M47" i="8"/>
  <c r="L47" i="8"/>
  <c r="K47" i="8"/>
  <c r="J47" i="8"/>
  <c r="I47" i="8"/>
  <c r="H47" i="8"/>
  <c r="F47" i="8"/>
  <c r="E47" i="8"/>
  <c r="D47" i="8"/>
  <c r="T5" i="6"/>
  <c r="S5" i="6"/>
  <c r="C42" i="2"/>
  <c r="D42" i="2"/>
  <c r="E42" i="2"/>
  <c r="G42" i="2"/>
  <c r="H42" i="2"/>
  <c r="I42" i="2"/>
  <c r="J42" i="2"/>
  <c r="D43" i="2"/>
  <c r="E43" i="2"/>
  <c r="G43" i="2"/>
  <c r="H43" i="2"/>
  <c r="I43" i="2"/>
  <c r="J43" i="2"/>
  <c r="D44" i="2"/>
  <c r="E44" i="2"/>
  <c r="G44" i="2"/>
  <c r="H44" i="2"/>
  <c r="I44" i="2"/>
  <c r="J44" i="2"/>
  <c r="C44" i="2"/>
  <c r="C43" i="2"/>
  <c r="A9" i="6" l="1"/>
  <c r="A10" i="6" s="1"/>
  <c r="A11" i="6" s="1"/>
  <c r="A13" i="6" s="1"/>
  <c r="A14" i="6" s="1"/>
  <c r="F44" i="2"/>
  <c r="A9" i="9"/>
  <c r="F43" i="2"/>
  <c r="L9" i="9"/>
  <c r="L11" i="9" s="1"/>
  <c r="K9" i="6"/>
  <c r="H27" i="9"/>
  <c r="P9" i="6"/>
  <c r="M9" i="6"/>
  <c r="R9" i="6"/>
  <c r="F42" i="2"/>
  <c r="E27" i="9" l="1"/>
  <c r="A10" i="9"/>
  <c r="A12" i="6"/>
  <c r="G27" i="9"/>
  <c r="F27" i="9"/>
  <c r="H9" i="6"/>
  <c r="S9" i="6"/>
  <c r="T9" i="6"/>
  <c r="U9" i="6" l="1"/>
  <c r="J9" i="6"/>
  <c r="V9" i="6"/>
</calcChain>
</file>

<file path=xl/sharedStrings.xml><?xml version="1.0" encoding="utf-8"?>
<sst xmlns="http://schemas.openxmlformats.org/spreadsheetml/2006/main" count="228" uniqueCount="105">
  <si>
    <t>Average</t>
  </si>
  <si>
    <t>Min</t>
  </si>
  <si>
    <t>Max</t>
  </si>
  <si>
    <t>م</t>
  </si>
  <si>
    <t>التاريخ</t>
  </si>
  <si>
    <t>DO</t>
  </si>
  <si>
    <t>SV30</t>
  </si>
  <si>
    <t>MLSS</t>
  </si>
  <si>
    <t>SVI</t>
  </si>
  <si>
    <t>VSS</t>
  </si>
  <si>
    <t>RAS</t>
  </si>
  <si>
    <t>Thickner</t>
  </si>
  <si>
    <t>MIN</t>
  </si>
  <si>
    <t>MAX</t>
  </si>
  <si>
    <t>Technical</t>
  </si>
  <si>
    <t>In</t>
  </si>
  <si>
    <t>S--</t>
  </si>
  <si>
    <t>TDS</t>
  </si>
  <si>
    <t>TS</t>
  </si>
  <si>
    <t>TSS</t>
  </si>
  <si>
    <t>COD</t>
  </si>
  <si>
    <t>BOD</t>
  </si>
  <si>
    <t>المعايير</t>
  </si>
  <si>
    <t>6.5-9</t>
  </si>
  <si>
    <t>1 mg/l</t>
  </si>
  <si>
    <t>pH</t>
  </si>
  <si>
    <t>Oil&amp;Grase</t>
  </si>
  <si>
    <t>R. Cl</t>
  </si>
  <si>
    <t>Out</t>
  </si>
  <si>
    <t>15-35</t>
  </si>
  <si>
    <t>4mg/l</t>
  </si>
  <si>
    <t>2000 mg/l</t>
  </si>
  <si>
    <t>&lt;10</t>
  </si>
  <si>
    <t>عدد عينات السيب النهائى</t>
  </si>
  <si>
    <t>TEMP °C</t>
  </si>
  <si>
    <t>Responsible</t>
  </si>
  <si>
    <t xml:space="preserve">نتائج مراحل المعالجه لمحطة معالجة صرف صحى طاميه بالفيوم لشهر </t>
  </si>
  <si>
    <t xml:space="preserve"> نتائج تحليل الدخول والسيب النهائى لمحطة معالجة صرف الصحى طاميه  بالفيوم لشهر </t>
  </si>
  <si>
    <r>
      <t xml:space="preserve">Dry Sludge TS </t>
    </r>
    <r>
      <rPr>
        <sz val="11"/>
        <color theme="1"/>
        <rFont val="Calibri"/>
        <family val="2"/>
        <charset val="178"/>
        <scheme val="minor"/>
      </rPr>
      <t>%</t>
    </r>
  </si>
  <si>
    <t>Total</t>
  </si>
  <si>
    <t>Coliform</t>
  </si>
  <si>
    <t>&lt;60</t>
  </si>
  <si>
    <t>&lt;80</t>
  </si>
  <si>
    <t>&lt;50</t>
  </si>
  <si>
    <t>0.5mg/l</t>
  </si>
  <si>
    <t>10 mg/l</t>
  </si>
  <si>
    <t>100 mg/l</t>
  </si>
  <si>
    <t>60 mg/l</t>
  </si>
  <si>
    <t>600 mg/l</t>
  </si>
  <si>
    <t>80 mg/l</t>
  </si>
  <si>
    <t>1100 mg/l</t>
  </si>
  <si>
    <t>50 mg/l</t>
  </si>
  <si>
    <t>800 mg/l</t>
  </si>
  <si>
    <t>6.5 - 9</t>
  </si>
  <si>
    <t>6 - 9.5</t>
  </si>
  <si>
    <t>O&amp;G</t>
  </si>
  <si>
    <t>TEMP</t>
  </si>
  <si>
    <t>معايير قانون 48 لسنة 1982( قرار 92 لسنة 2013 مادة 52)</t>
  </si>
  <si>
    <t>غير مطابق %</t>
  </si>
  <si>
    <t>مطابق%</t>
  </si>
  <si>
    <t>غيرمطابق</t>
  </si>
  <si>
    <t>مطابق</t>
  </si>
  <si>
    <t>العدد</t>
  </si>
  <si>
    <t>م3/ يوم</t>
  </si>
  <si>
    <t>نسبة المطابقة</t>
  </si>
  <si>
    <t>اجمالي عدد العينات</t>
  </si>
  <si>
    <t>عدد العينات البكتريولوجية</t>
  </si>
  <si>
    <t>عدد العينات الكيميائية</t>
  </si>
  <si>
    <t>الطاقة الفعلية</t>
  </si>
  <si>
    <t>الطاقة التصميمية</t>
  </si>
  <si>
    <t>نظام المعالجة</t>
  </si>
  <si>
    <t>اسم المحطة</t>
  </si>
  <si>
    <t>عدد عينات الدخول</t>
  </si>
  <si>
    <t xml:space="preserve">          الادارة العامة لمعامل الصرف الصحي</t>
  </si>
  <si>
    <t xml:space="preserve">                          قطاع المعامل</t>
  </si>
  <si>
    <t xml:space="preserve">        شركة الفيوم لمياه الشرب والصرف الصحى</t>
  </si>
  <si>
    <t>طامية</t>
  </si>
  <si>
    <t>كروجر</t>
  </si>
  <si>
    <t>Technical Responsible</t>
  </si>
  <si>
    <t>6-9.5</t>
  </si>
  <si>
    <t>&lt;100</t>
  </si>
  <si>
    <t>&lt;600</t>
  </si>
  <si>
    <t>&lt;1100</t>
  </si>
  <si>
    <t>&lt;800</t>
  </si>
  <si>
    <r>
      <t xml:space="preserve">                         </t>
    </r>
    <r>
      <rPr>
        <b/>
        <u val="double"/>
        <sz val="14"/>
        <rFont val="Arial"/>
        <family val="2"/>
      </rPr>
      <t xml:space="preserve"> إحصائية  بعدد عينات الدخول والسيب النهائى لمحطة معالجة  طامية  عن شهر                      </t>
    </r>
    <r>
      <rPr>
        <b/>
        <sz val="14"/>
        <rFont val="Arial"/>
        <family val="2"/>
      </rPr>
      <t xml:space="preserve"> </t>
    </r>
  </si>
  <si>
    <t>مجمع التهوية</t>
  </si>
  <si>
    <t>Thickenner</t>
  </si>
  <si>
    <t>اجمالى العينات</t>
  </si>
  <si>
    <t>الحمأة الجافة</t>
  </si>
  <si>
    <t>أحواض التهوية</t>
  </si>
  <si>
    <t>column</t>
  </si>
  <si>
    <t>column1</t>
  </si>
  <si>
    <t xml:space="preserve"> ≥ 0.5 mg/l</t>
  </si>
  <si>
    <t xml:space="preserve">الدخول </t>
  </si>
  <si>
    <t>السيب النهائى</t>
  </si>
  <si>
    <t>WASS</t>
  </si>
  <si>
    <t>ThickSS</t>
  </si>
  <si>
    <t>كتلة الحمأة بالمحطة كجم/ شهر</t>
  </si>
  <si>
    <t>المحطة</t>
  </si>
  <si>
    <t>&lt;=1</t>
  </si>
  <si>
    <t>&gt;=4</t>
  </si>
  <si>
    <t>&lt;=2000</t>
  </si>
  <si>
    <t>برك أكسدة</t>
  </si>
  <si>
    <t xml:space="preserve">برك أكسدة </t>
  </si>
  <si>
    <t>الاجمالى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</si>
</sst>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0.0"/>
    <numFmt numFmtId="165" formatCode="yyyy/mm"/>
    <numFmt numFmtId="166" formatCode="0.00\ \X\ \10\³"/>
    <numFmt numFmtId="167" formatCode="\&lt;\ 0.00\ \X\ \10\³"/>
  </numFmts>
  <fonts count="48"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0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b/>
      <u/>
      <sz val="20"/>
      <name val="Cambria"/>
      <family val="1"/>
      <scheme val="major"/>
    </font>
    <font>
      <b/>
      <sz val="24"/>
      <color indexed="18"/>
      <name val="Cambria"/>
      <family val="1"/>
      <scheme val="major"/>
    </font>
    <font>
      <b/>
      <sz val="20"/>
      <color indexed="18"/>
      <name val="Arial"/>
      <family val="2"/>
    </font>
    <font>
      <sz val="11"/>
      <color indexed="8"/>
      <name val="Calibri"/>
      <family val="2"/>
      <charset val="178"/>
    </font>
    <font>
      <b/>
      <sz val="18"/>
      <color theme="1"/>
      <name val="Calibri"/>
      <family val="2"/>
      <scheme val="minor"/>
    </font>
    <font>
      <sz val="12"/>
      <color theme="1"/>
      <name val="Calibri"/>
      <family val="2"/>
      <charset val="178"/>
      <scheme val="minor"/>
    </font>
    <font>
      <b/>
      <sz val="18"/>
      <color indexed="8"/>
      <name val="Arial"/>
      <family val="2"/>
    </font>
    <font>
      <b/>
      <sz val="18"/>
      <name val="Arial"/>
      <family val="2"/>
    </font>
    <font>
      <b/>
      <sz val="18"/>
      <name val="Times New Roman"/>
      <family val="1"/>
    </font>
    <font>
      <sz val="18"/>
      <color theme="1"/>
      <name val="Calibri"/>
      <family val="2"/>
      <charset val="178"/>
      <scheme val="minor"/>
    </font>
    <font>
      <sz val="10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1"/>
      <color indexed="8"/>
      <name val="Arial"/>
      <family val="2"/>
    </font>
    <font>
      <b/>
      <sz val="10"/>
      <color indexed="8"/>
      <name val="Arial"/>
      <family val="2"/>
    </font>
    <font>
      <b/>
      <sz val="8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b/>
      <sz val="8"/>
      <color indexed="8"/>
      <name val="Arial"/>
      <family val="2"/>
    </font>
    <font>
      <b/>
      <sz val="8"/>
      <color indexed="8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indexed="8"/>
      <name val="Times New Roman"/>
      <family val="1"/>
    </font>
    <font>
      <sz val="8"/>
      <color indexed="8"/>
      <name val="Times New Roman"/>
      <family val="1"/>
    </font>
    <font>
      <b/>
      <u val="double"/>
      <sz val="14"/>
      <name val="Arial"/>
      <family val="2"/>
    </font>
    <font>
      <b/>
      <sz val="11"/>
      <color indexed="12"/>
      <name val="PT Bold Heading"/>
      <charset val="178"/>
    </font>
    <font>
      <b/>
      <sz val="9"/>
      <color indexed="12"/>
      <name val="PT Bold Heading"/>
      <charset val="178"/>
    </font>
    <font>
      <b/>
      <sz val="18"/>
      <color indexed="8"/>
      <name val="Times New Roman"/>
      <family val="1"/>
    </font>
    <font>
      <sz val="11"/>
      <color theme="0"/>
      <name val="Calibri"/>
      <family val="2"/>
      <scheme val="minor"/>
    </font>
    <font>
      <sz val="11"/>
      <name val="Calibri"/>
      <family val="2"/>
      <charset val="178"/>
      <scheme val="minor"/>
    </font>
    <font>
      <b/>
      <sz val="18"/>
      <color rgb="FFFF0000"/>
      <name val="Arial"/>
      <family val="2"/>
    </font>
    <font>
      <sz val="11"/>
      <color rgb="FFFF0000"/>
      <name val="Calibri"/>
      <family val="2"/>
      <charset val="178"/>
      <scheme val="minor"/>
    </font>
    <font>
      <b/>
      <sz val="36"/>
      <name val="Arial"/>
      <family val="2"/>
    </font>
    <font>
      <b/>
      <sz val="18"/>
      <color rgb="FFFF0000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178"/>
      <scheme val="minor"/>
    </font>
    <font>
      <b/>
      <sz val="18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mediumGray"/>
    </fill>
  </fills>
  <borders count="6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theme="0"/>
      </right>
      <top style="thick">
        <color theme="0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1"/>
      </left>
      <right/>
      <top style="thin">
        <color theme="1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1"/>
      </left>
      <right/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</borders>
  <cellStyleXfs count="8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7" fillId="0" borderId="0"/>
    <xf numFmtId="9" fontId="1" fillId="0" borderId="0" applyFont="0" applyFill="0" applyBorder="0" applyAlignment="0" applyProtection="0"/>
    <xf numFmtId="0" fontId="14" fillId="0" borderId="0"/>
    <xf numFmtId="43" fontId="14" fillId="0" borderId="0" applyFont="0" applyFill="0" applyBorder="0" applyAlignment="0" applyProtection="0"/>
    <xf numFmtId="0" fontId="14" fillId="0" borderId="0"/>
  </cellStyleXfs>
  <cellXfs count="277">
    <xf numFmtId="0" fontId="0" fillId="0" borderId="0" xfId="0"/>
    <xf numFmtId="0" fontId="6" fillId="0" borderId="0" xfId="0" applyFont="1" applyProtection="1">
      <protection locked="0" hidden="1"/>
    </xf>
    <xf numFmtId="0" fontId="5" fillId="0" borderId="1" xfId="0" applyFont="1" applyBorder="1" applyAlignment="1" applyProtection="1">
      <alignment vertical="center"/>
      <protection locked="0" hidden="1"/>
    </xf>
    <xf numFmtId="0" fontId="0" fillId="0" borderId="0" xfId="0" applyProtection="1">
      <protection locked="0" hidden="1"/>
    </xf>
    <xf numFmtId="0" fontId="11" fillId="4" borderId="2" xfId="0" applyFont="1" applyFill="1" applyBorder="1" applyAlignment="1" applyProtection="1">
      <alignment horizontal="center" vertical="center" wrapText="1"/>
      <protection locked="0" hidden="1"/>
    </xf>
    <xf numFmtId="0" fontId="2" fillId="0" borderId="0" xfId="0" applyFont="1" applyProtection="1">
      <protection locked="0" hidden="1"/>
    </xf>
    <xf numFmtId="0" fontId="11" fillId="0" borderId="2" xfId="0" applyFont="1" applyBorder="1" applyAlignment="1" applyProtection="1">
      <alignment horizontal="center" readingOrder="2"/>
      <protection locked="0" hidden="1"/>
    </xf>
    <xf numFmtId="14" fontId="8" fillId="5" borderId="7" xfId="1" applyNumberFormat="1" applyFont="1" applyFill="1" applyBorder="1" applyAlignment="1" applyProtection="1">
      <alignment horizontal="center" vertical="center"/>
      <protection locked="0" hidden="1"/>
    </xf>
    <xf numFmtId="14" fontId="8" fillId="5" borderId="41" xfId="1" applyNumberFormat="1" applyFont="1" applyFill="1" applyBorder="1" applyAlignment="1" applyProtection="1">
      <alignment horizontal="center" vertical="center"/>
      <protection locked="0" hidden="1"/>
    </xf>
    <xf numFmtId="0" fontId="2" fillId="0" borderId="0" xfId="0" applyFont="1" applyProtection="1">
      <protection hidden="1"/>
    </xf>
    <xf numFmtId="0" fontId="38" fillId="0" borderId="0" xfId="0" applyFont="1" applyProtection="1">
      <protection locked="0" hidden="1"/>
    </xf>
    <xf numFmtId="0" fontId="35" fillId="0" borderId="0" xfId="5" applyFont="1" applyAlignment="1" applyProtection="1">
      <alignment vertical="center" readingOrder="2"/>
      <protection locked="0" hidden="1"/>
    </xf>
    <xf numFmtId="0" fontId="34" fillId="0" borderId="0" xfId="5" applyFont="1" applyAlignment="1" applyProtection="1">
      <alignment vertical="center" readingOrder="2"/>
      <protection locked="0" hidden="1"/>
    </xf>
    <xf numFmtId="0" fontId="14" fillId="0" borderId="0" xfId="5" applyProtection="1">
      <protection locked="0" hidden="1"/>
    </xf>
    <xf numFmtId="0" fontId="35" fillId="0" borderId="0" xfId="5" applyFont="1" applyAlignment="1" applyProtection="1">
      <alignment readingOrder="2"/>
      <protection locked="0" hidden="1"/>
    </xf>
    <xf numFmtId="0" fontId="34" fillId="0" borderId="0" xfId="5" applyFont="1" applyAlignment="1" applyProtection="1">
      <alignment readingOrder="2"/>
      <protection locked="0" hidden="1"/>
    </xf>
    <xf numFmtId="0" fontId="14" fillId="0" borderId="0" xfId="5" applyAlignment="1" applyProtection="1">
      <alignment readingOrder="2"/>
      <protection locked="0" hidden="1"/>
    </xf>
    <xf numFmtId="0" fontId="14" fillId="0" borderId="0" xfId="5" applyAlignment="1" applyProtection="1">
      <alignment horizontal="center" readingOrder="2"/>
      <protection locked="0" hidden="1"/>
    </xf>
    <xf numFmtId="0" fontId="34" fillId="0" borderId="0" xfId="5" applyFont="1" applyAlignment="1" applyProtection="1">
      <alignment horizontal="right" readingOrder="2"/>
      <protection locked="0" hidden="1"/>
    </xf>
    <xf numFmtId="0" fontId="18" fillId="0" borderId="0" xfId="5" applyFont="1" applyAlignment="1" applyProtection="1">
      <alignment horizontal="center" vertical="center" readingOrder="2"/>
      <protection locked="0" hidden="1"/>
    </xf>
    <xf numFmtId="0" fontId="18" fillId="0" borderId="0" xfId="5" applyFont="1" applyAlignment="1" applyProtection="1">
      <alignment vertical="center" readingOrder="2"/>
      <protection locked="0" hidden="1"/>
    </xf>
    <xf numFmtId="0" fontId="18" fillId="0" borderId="0" xfId="5" applyFont="1" applyAlignment="1" applyProtection="1">
      <alignment horizontal="right" vertical="center" readingOrder="2"/>
      <protection locked="0" hidden="1"/>
    </xf>
    <xf numFmtId="0" fontId="14" fillId="0" borderId="44" xfId="5" applyBorder="1" applyAlignment="1" applyProtection="1">
      <alignment horizontal="right" vertical="center"/>
      <protection locked="0" hidden="1"/>
    </xf>
    <xf numFmtId="0" fontId="14" fillId="0" borderId="0" xfId="5" applyAlignment="1" applyProtection="1">
      <alignment horizontal="right" vertical="center"/>
      <protection locked="0" hidden="1"/>
    </xf>
    <xf numFmtId="0" fontId="36" fillId="9" borderId="33" xfId="5" applyFont="1" applyFill="1" applyBorder="1" applyAlignment="1" applyProtection="1">
      <alignment horizontal="center" vertical="center" readingOrder="2"/>
      <protection locked="0" hidden="1"/>
    </xf>
    <xf numFmtId="0" fontId="36" fillId="9" borderId="29" xfId="5" applyFont="1" applyFill="1" applyBorder="1" applyAlignment="1" applyProtection="1">
      <alignment horizontal="center" vertical="center" readingOrder="2"/>
      <protection locked="0" hidden="1"/>
    </xf>
    <xf numFmtId="0" fontId="36" fillId="9" borderId="25" xfId="5" applyFont="1" applyFill="1" applyBorder="1" applyAlignment="1" applyProtection="1">
      <alignment horizontal="center" vertical="center" readingOrder="2"/>
      <protection locked="0" hidden="1"/>
    </xf>
    <xf numFmtId="0" fontId="36" fillId="9" borderId="12" xfId="5" applyFont="1" applyFill="1" applyBorder="1" applyAlignment="1" applyProtection="1">
      <alignment horizontal="center" vertical="center" readingOrder="2"/>
      <protection locked="0" hidden="1"/>
    </xf>
    <xf numFmtId="0" fontId="11" fillId="0" borderId="21" xfId="5" applyFont="1" applyBorder="1" applyAlignment="1" applyProtection="1">
      <alignment horizontal="center" vertical="center" readingOrder="2"/>
      <protection locked="0" hidden="1"/>
    </xf>
    <xf numFmtId="0" fontId="11" fillId="0" borderId="19" xfId="5" applyFont="1" applyBorder="1" applyAlignment="1" applyProtection="1">
      <alignment horizontal="center" vertical="center" readingOrder="2"/>
      <protection locked="0" hidden="1"/>
    </xf>
    <xf numFmtId="0" fontId="22" fillId="8" borderId="0" xfId="5" applyFont="1" applyFill="1" applyAlignment="1" applyProtection="1">
      <alignment horizontal="center" vertical="center" readingOrder="2"/>
      <protection locked="0" hidden="1"/>
    </xf>
    <xf numFmtId="0" fontId="16" fillId="0" borderId="0" xfId="5" applyFont="1" applyAlignment="1" applyProtection="1">
      <alignment horizontal="center" vertical="center" wrapText="1" readingOrder="2"/>
      <protection locked="0" hidden="1"/>
    </xf>
    <xf numFmtId="0" fontId="21" fillId="0" borderId="0" xfId="5" applyFont="1" applyAlignment="1" applyProtection="1">
      <alignment horizontal="center" vertical="center" readingOrder="2"/>
      <protection locked="0" hidden="1"/>
    </xf>
    <xf numFmtId="0" fontId="16" fillId="0" borderId="0" xfId="5" applyFont="1" applyAlignment="1" applyProtection="1">
      <alignment horizontal="center" vertical="center" readingOrder="2"/>
      <protection locked="0" hidden="1"/>
    </xf>
    <xf numFmtId="1" fontId="17" fillId="0" borderId="0" xfId="5" applyNumberFormat="1" applyFont="1" applyAlignment="1" applyProtection="1">
      <alignment horizontal="center" vertical="center" readingOrder="2"/>
      <protection locked="0" hidden="1"/>
    </xf>
    <xf numFmtId="1" fontId="21" fillId="0" borderId="0" xfId="5" applyNumberFormat="1" applyFont="1" applyAlignment="1" applyProtection="1">
      <alignment vertical="center" readingOrder="2"/>
      <protection locked="0" hidden="1"/>
    </xf>
    <xf numFmtId="0" fontId="27" fillId="8" borderId="0" xfId="5" applyFont="1" applyFill="1" applyAlignment="1" applyProtection="1">
      <alignment horizontal="center" vertical="center" readingOrder="2"/>
      <protection locked="0" hidden="1"/>
    </xf>
    <xf numFmtId="164" fontId="24" fillId="0" borderId="0" xfId="5" applyNumberFormat="1" applyFont="1" applyAlignment="1" applyProtection="1">
      <alignment horizontal="center" vertical="center" readingOrder="2"/>
      <protection locked="0" hidden="1"/>
    </xf>
    <xf numFmtId="2" fontId="24" fillId="0" borderId="0" xfId="5" applyNumberFormat="1" applyFont="1" applyAlignment="1" applyProtection="1">
      <alignment horizontal="center" vertical="center" readingOrder="2"/>
      <protection locked="0" hidden="1"/>
    </xf>
    <xf numFmtId="0" fontId="26" fillId="0" borderId="0" xfId="5" applyFont="1" applyProtection="1">
      <protection locked="0" hidden="1"/>
    </xf>
    <xf numFmtId="0" fontId="13" fillId="0" borderId="0" xfId="0" applyFont="1" applyAlignment="1" applyProtection="1">
      <alignment horizontal="center" vertical="center"/>
      <protection locked="0" hidden="1"/>
    </xf>
    <xf numFmtId="0" fontId="20" fillId="0" borderId="0" xfId="5" applyFont="1" applyAlignment="1" applyProtection="1">
      <alignment horizontal="center" vertical="center" readingOrder="2"/>
      <protection locked="0" hidden="1"/>
    </xf>
    <xf numFmtId="1" fontId="25" fillId="0" borderId="0" xfId="5" applyNumberFormat="1" applyFont="1" applyAlignment="1" applyProtection="1">
      <alignment horizontal="center" vertical="center" readingOrder="2"/>
      <protection locked="0" hidden="1"/>
    </xf>
    <xf numFmtId="1" fontId="24" fillId="0" borderId="0" xfId="5" applyNumberFormat="1" applyFont="1" applyAlignment="1" applyProtection="1">
      <alignment horizontal="center" vertical="center" readingOrder="2"/>
      <protection locked="0" hidden="1"/>
    </xf>
    <xf numFmtId="0" fontId="20" fillId="0" borderId="0" xfId="5" applyFont="1" applyAlignment="1" applyProtection="1">
      <alignment horizontal="center" readingOrder="2"/>
      <protection locked="0" hidden="1"/>
    </xf>
    <xf numFmtId="0" fontId="20" fillId="7" borderId="0" xfId="5" applyFont="1" applyFill="1" applyAlignment="1" applyProtection="1">
      <alignment horizontal="center" vertical="center" readingOrder="2"/>
      <protection locked="0" hidden="1"/>
    </xf>
    <xf numFmtId="1" fontId="16" fillId="7" borderId="0" xfId="5" applyNumberFormat="1" applyFont="1" applyFill="1" applyAlignment="1" applyProtection="1">
      <alignment horizontal="center" vertical="center" readingOrder="2"/>
      <protection locked="0" hidden="1"/>
    </xf>
    <xf numFmtId="1" fontId="18" fillId="7" borderId="0" xfId="5" applyNumberFormat="1" applyFont="1" applyFill="1" applyAlignment="1" applyProtection="1">
      <alignment horizontal="center" vertical="center" readingOrder="2"/>
      <protection locked="0" hidden="1"/>
    </xf>
    <xf numFmtId="0" fontId="15" fillId="0" borderId="0" xfId="5" applyFont="1" applyAlignment="1" applyProtection="1">
      <alignment readingOrder="2"/>
      <protection locked="0" hidden="1"/>
    </xf>
    <xf numFmtId="0" fontId="16" fillId="0" borderId="0" xfId="5" applyFont="1" applyAlignment="1" applyProtection="1">
      <alignment readingOrder="2"/>
      <protection locked="0" hidden="1"/>
    </xf>
    <xf numFmtId="0" fontId="16" fillId="0" borderId="0" xfId="5" applyFont="1" applyAlignment="1" applyProtection="1">
      <alignment vertical="center" readingOrder="2"/>
      <protection locked="0" hidden="1"/>
    </xf>
    <xf numFmtId="0" fontId="19" fillId="0" borderId="0" xfId="5" applyFont="1" applyAlignment="1" applyProtection="1">
      <alignment vertical="center" readingOrder="2"/>
      <protection locked="0" hidden="1"/>
    </xf>
    <xf numFmtId="0" fontId="17" fillId="0" borderId="0" xfId="5" applyFont="1" applyAlignment="1" applyProtection="1">
      <alignment readingOrder="2"/>
      <protection locked="0" hidden="1"/>
    </xf>
    <xf numFmtId="0" fontId="16" fillId="0" borderId="0" xfId="5" applyFont="1" applyProtection="1">
      <protection locked="0" hidden="1"/>
    </xf>
    <xf numFmtId="0" fontId="15" fillId="0" borderId="0" xfId="5" applyFont="1" applyProtection="1">
      <protection locked="0" hidden="1"/>
    </xf>
    <xf numFmtId="1" fontId="11" fillId="0" borderId="42" xfId="5" applyNumberFormat="1" applyFont="1" applyBorder="1" applyAlignment="1" applyProtection="1">
      <alignment horizontal="center" vertical="center" readingOrder="2"/>
      <protection hidden="1"/>
    </xf>
    <xf numFmtId="1" fontId="11" fillId="0" borderId="42" xfId="4" applyNumberFormat="1" applyFont="1" applyBorder="1" applyAlignment="1" applyProtection="1">
      <alignment horizontal="center" vertical="center" readingOrder="2"/>
      <protection hidden="1"/>
    </xf>
    <xf numFmtId="1" fontId="11" fillId="0" borderId="46" xfId="5" applyNumberFormat="1" applyFont="1" applyBorder="1" applyAlignment="1" applyProtection="1">
      <alignment horizontal="center" vertical="center" readingOrder="2"/>
      <protection hidden="1"/>
    </xf>
    <xf numFmtId="0" fontId="18" fillId="0" borderId="0" xfId="5" applyFont="1" applyAlignment="1" applyProtection="1">
      <alignment horizontal="center" vertical="center" readingOrder="2"/>
      <protection hidden="1"/>
    </xf>
    <xf numFmtId="0" fontId="18" fillId="0" borderId="0" xfId="5" applyFont="1" applyAlignment="1" applyProtection="1">
      <alignment vertical="center" readingOrder="2"/>
      <protection hidden="1"/>
    </xf>
    <xf numFmtId="0" fontId="32" fillId="9" borderId="33" xfId="5" applyFont="1" applyFill="1" applyBorder="1" applyAlignment="1" applyProtection="1">
      <alignment horizontal="center" vertical="center" readingOrder="2"/>
      <protection locked="0" hidden="1"/>
    </xf>
    <xf numFmtId="0" fontId="31" fillId="9" borderId="29" xfId="5" applyFont="1" applyFill="1" applyBorder="1" applyAlignment="1" applyProtection="1">
      <alignment horizontal="center" vertical="center" readingOrder="2"/>
      <protection locked="0" hidden="1"/>
    </xf>
    <xf numFmtId="0" fontId="31" fillId="9" borderId="25" xfId="5" applyFont="1" applyFill="1" applyBorder="1" applyAlignment="1" applyProtection="1">
      <alignment horizontal="center" vertical="center" readingOrder="2"/>
      <protection locked="0" hidden="1"/>
    </xf>
    <xf numFmtId="0" fontId="31" fillId="9" borderId="12" xfId="5" applyFont="1" applyFill="1" applyBorder="1" applyAlignment="1" applyProtection="1">
      <alignment horizontal="center" vertical="center" readingOrder="2"/>
      <protection locked="0" hidden="1"/>
    </xf>
    <xf numFmtId="0" fontId="29" fillId="9" borderId="24" xfId="5" applyFont="1" applyFill="1" applyBorder="1" applyAlignment="1" applyProtection="1">
      <alignment horizontal="center" vertical="center" readingOrder="2"/>
      <protection locked="0" hidden="1"/>
    </xf>
    <xf numFmtId="0" fontId="29" fillId="9" borderId="11" xfId="5" applyFont="1" applyFill="1" applyBorder="1" applyAlignment="1" applyProtection="1">
      <alignment horizontal="center" vertical="center" readingOrder="2"/>
      <protection locked="0" hidden="1"/>
    </xf>
    <xf numFmtId="0" fontId="29" fillId="9" borderId="22" xfId="5" applyFont="1" applyFill="1" applyBorder="1" applyAlignment="1" applyProtection="1">
      <alignment horizontal="center" vertical="center" readingOrder="2"/>
      <protection locked="0" hidden="1"/>
    </xf>
    <xf numFmtId="0" fontId="29" fillId="9" borderId="23" xfId="5" applyFont="1" applyFill="1" applyBorder="1" applyAlignment="1" applyProtection="1">
      <alignment horizontal="center" vertical="center" readingOrder="2"/>
      <protection locked="0" hidden="1"/>
    </xf>
    <xf numFmtId="0" fontId="29" fillId="9" borderId="2" xfId="5" applyFont="1" applyFill="1" applyBorder="1" applyAlignment="1" applyProtection="1">
      <alignment vertical="center" readingOrder="2"/>
      <protection locked="0" hidden="1"/>
    </xf>
    <xf numFmtId="0" fontId="21" fillId="0" borderId="21" xfId="5" applyFont="1" applyBorder="1" applyAlignment="1" applyProtection="1">
      <alignment horizontal="center" vertical="center" readingOrder="2"/>
      <protection locked="0" hidden="1"/>
    </xf>
    <xf numFmtId="0" fontId="16" fillId="0" borderId="21" xfId="5" applyFont="1" applyBorder="1" applyAlignment="1" applyProtection="1">
      <alignment horizontal="center" vertical="center" readingOrder="2"/>
      <protection locked="0" hidden="1"/>
    </xf>
    <xf numFmtId="0" fontId="16" fillId="0" borderId="19" xfId="5" applyFont="1" applyBorder="1" applyAlignment="1" applyProtection="1">
      <alignment horizontal="center" vertical="center" readingOrder="2"/>
      <protection locked="0" hidden="1"/>
    </xf>
    <xf numFmtId="1" fontId="17" fillId="0" borderId="17" xfId="5" applyNumberFormat="1" applyFont="1" applyBorder="1" applyAlignment="1" applyProtection="1">
      <alignment horizontal="center" vertical="center" readingOrder="2"/>
      <protection hidden="1"/>
    </xf>
    <xf numFmtId="1" fontId="17" fillId="0" borderId="21" xfId="5" applyNumberFormat="1" applyFont="1" applyBorder="1" applyAlignment="1" applyProtection="1">
      <alignment horizontal="center" vertical="center" readingOrder="2"/>
      <protection hidden="1"/>
    </xf>
    <xf numFmtId="9" fontId="17" fillId="0" borderId="21" xfId="4" applyFont="1" applyBorder="1" applyAlignment="1" applyProtection="1">
      <alignment horizontal="center" vertical="center" readingOrder="2"/>
      <protection hidden="1"/>
    </xf>
    <xf numFmtId="9" fontId="17" fillId="0" borderId="42" xfId="4" applyFont="1" applyBorder="1" applyAlignment="1" applyProtection="1">
      <alignment horizontal="center" vertical="center" readingOrder="2"/>
      <protection hidden="1"/>
    </xf>
    <xf numFmtId="1" fontId="16" fillId="0" borderId="14" xfId="5" applyNumberFormat="1" applyFont="1" applyBorder="1" applyAlignment="1" applyProtection="1">
      <alignment horizontal="center" vertical="center" readingOrder="2"/>
      <protection locked="0" hidden="1"/>
    </xf>
    <xf numFmtId="0" fontId="16" fillId="0" borderId="15" xfId="5" applyFont="1" applyBorder="1" applyAlignment="1" applyProtection="1">
      <alignment horizontal="center" vertical="center" readingOrder="2"/>
      <protection locked="0" hidden="1"/>
    </xf>
    <xf numFmtId="0" fontId="20" fillId="4" borderId="17" xfId="5" applyFont="1" applyFill="1" applyBorder="1" applyAlignment="1" applyProtection="1">
      <alignment horizontal="center" vertical="center" wrapText="1"/>
      <protection locked="0" hidden="1"/>
    </xf>
    <xf numFmtId="0" fontId="20" fillId="4" borderId="19" xfId="5" applyFont="1" applyFill="1" applyBorder="1" applyAlignment="1" applyProtection="1">
      <alignment horizontal="center" vertical="center" wrapText="1"/>
      <protection locked="0" hidden="1"/>
    </xf>
    <xf numFmtId="0" fontId="20" fillId="4" borderId="18" xfId="5" applyFont="1" applyFill="1" applyBorder="1" applyAlignment="1" applyProtection="1">
      <alignment horizontal="center" vertical="center" wrapText="1"/>
      <protection locked="0" hidden="1"/>
    </xf>
    <xf numFmtId="0" fontId="20" fillId="4" borderId="20" xfId="5" applyFont="1" applyFill="1" applyBorder="1" applyAlignment="1" applyProtection="1">
      <alignment horizontal="center" vertical="center" wrapText="1"/>
      <protection locked="0" hidden="1"/>
    </xf>
    <xf numFmtId="0" fontId="20" fillId="4" borderId="14" xfId="5" applyFont="1" applyFill="1" applyBorder="1" applyAlignment="1" applyProtection="1">
      <alignment horizontal="center" vertical="center" wrapText="1"/>
      <protection locked="0" hidden="1"/>
    </xf>
    <xf numFmtId="0" fontId="20" fillId="4" borderId="16" xfId="5" applyFont="1" applyFill="1" applyBorder="1" applyAlignment="1" applyProtection="1">
      <alignment horizontal="center" vertical="center" wrapText="1"/>
      <protection locked="0" hidden="1"/>
    </xf>
    <xf numFmtId="0" fontId="20" fillId="4" borderId="15" xfId="5" applyFont="1" applyFill="1" applyBorder="1" applyAlignment="1" applyProtection="1">
      <alignment horizontal="center" vertical="center" wrapText="1"/>
      <protection locked="0" hidden="1"/>
    </xf>
    <xf numFmtId="0" fontId="24" fillId="0" borderId="14" xfId="5" applyFont="1" applyBorder="1" applyAlignment="1" applyProtection="1">
      <alignment horizontal="center" vertical="center" readingOrder="1"/>
      <protection locked="0" hidden="1"/>
    </xf>
    <xf numFmtId="0" fontId="4" fillId="0" borderId="0" xfId="0" applyFont="1" applyAlignment="1" applyProtection="1">
      <alignment vertical="center"/>
      <protection locked="0" hidden="1"/>
    </xf>
    <xf numFmtId="0" fontId="0" fillId="0" borderId="0" xfId="0" applyAlignment="1" applyProtection="1">
      <alignment horizontal="center" vertical="center"/>
      <protection locked="0" hidden="1"/>
    </xf>
    <xf numFmtId="14" fontId="0" fillId="0" borderId="0" xfId="0" applyNumberFormat="1" applyAlignment="1" applyProtection="1">
      <alignment horizontal="center" vertical="center"/>
      <protection locked="0" hidden="1"/>
    </xf>
    <xf numFmtId="0" fontId="1" fillId="2" borderId="7" xfId="1" applyBorder="1" applyAlignment="1" applyProtection="1">
      <alignment horizontal="center" vertical="center"/>
      <protection locked="0" hidden="1"/>
    </xf>
    <xf numFmtId="14" fontId="1" fillId="2" borderId="7" xfId="1" applyNumberFormat="1" applyBorder="1" applyAlignment="1" applyProtection="1">
      <alignment horizontal="center" vertical="center"/>
      <protection hidden="1"/>
    </xf>
    <xf numFmtId="2" fontId="9" fillId="0" borderId="0" xfId="0" applyNumberFormat="1" applyFont="1" applyAlignment="1" applyProtection="1">
      <alignment horizontal="center" vertical="center"/>
      <protection locked="0" hidden="1"/>
    </xf>
    <xf numFmtId="2" fontId="2" fillId="3" borderId="9" xfId="2" applyNumberFormat="1" applyBorder="1" applyAlignment="1" applyProtection="1">
      <alignment horizontal="center" vertical="center"/>
      <protection hidden="1"/>
    </xf>
    <xf numFmtId="0" fontId="37" fillId="6" borderId="8" xfId="0" applyFont="1" applyFill="1" applyBorder="1" applyAlignment="1" applyProtection="1">
      <alignment horizontal="center" vertical="center"/>
      <protection locked="0" hidden="1"/>
    </xf>
    <xf numFmtId="2" fontId="37" fillId="6" borderId="6" xfId="0" applyNumberFormat="1" applyFont="1" applyFill="1" applyBorder="1" applyAlignment="1" applyProtection="1">
      <alignment horizontal="center" vertical="center"/>
      <protection hidden="1"/>
    </xf>
    <xf numFmtId="0" fontId="2" fillId="3" borderId="5" xfId="2" applyBorder="1" applyAlignment="1" applyProtection="1">
      <alignment horizontal="center" vertical="center"/>
      <protection locked="0" hidden="1"/>
    </xf>
    <xf numFmtId="2" fontId="2" fillId="3" borderId="5" xfId="2" applyNumberFormat="1" applyBorder="1" applyAlignment="1" applyProtection="1">
      <alignment horizontal="center" vertical="center"/>
      <protection hidden="1"/>
    </xf>
    <xf numFmtId="0" fontId="2" fillId="3" borderId="4" xfId="2" applyBorder="1" applyAlignment="1" applyProtection="1">
      <alignment horizontal="center" vertical="center"/>
      <protection locked="0" hidden="1"/>
    </xf>
    <xf numFmtId="2" fontId="2" fillId="3" borderId="4" xfId="2" applyNumberFormat="1" applyBorder="1" applyAlignment="1" applyProtection="1">
      <alignment horizontal="center" vertical="center"/>
      <protection hidden="1"/>
    </xf>
    <xf numFmtId="14" fontId="0" fillId="0" borderId="0" xfId="0" applyNumberFormat="1" applyProtection="1">
      <protection locked="0" hidden="1"/>
    </xf>
    <xf numFmtId="0" fontId="3" fillId="0" borderId="0" xfId="0" applyFont="1" applyProtection="1">
      <protection locked="0" hidden="1"/>
    </xf>
    <xf numFmtId="165" fontId="22" fillId="8" borderId="17" xfId="5" applyNumberFormat="1" applyFont="1" applyFill="1" applyBorder="1" applyAlignment="1" applyProtection="1">
      <alignment horizontal="center" vertical="center" readingOrder="2"/>
      <protection hidden="1"/>
    </xf>
    <xf numFmtId="2" fontId="39" fillId="5" borderId="0" xfId="3" applyNumberFormat="1" applyFont="1" applyFill="1" applyAlignment="1" applyProtection="1">
      <alignment horizontal="center" readingOrder="1"/>
      <protection hidden="1"/>
    </xf>
    <xf numFmtId="0" fontId="40" fillId="0" borderId="0" xfId="0" applyFont="1" applyProtection="1">
      <protection locked="0" hidden="1"/>
    </xf>
    <xf numFmtId="14" fontId="8" fillId="5" borderId="53" xfId="1" applyNumberFormat="1" applyFont="1" applyFill="1" applyBorder="1" applyAlignment="1">
      <alignment horizontal="center" vertical="center"/>
    </xf>
    <xf numFmtId="0" fontId="11" fillId="11" borderId="52" xfId="0" applyFont="1" applyFill="1" applyBorder="1" applyAlignment="1">
      <alignment horizontal="center" readingOrder="2"/>
    </xf>
    <xf numFmtId="0" fontId="11" fillId="10" borderId="52" xfId="0" applyFont="1" applyFill="1" applyBorder="1" applyAlignment="1">
      <alignment horizontal="center" readingOrder="2"/>
    </xf>
    <xf numFmtId="0" fontId="11" fillId="11" borderId="54" xfId="0" applyFont="1" applyFill="1" applyBorder="1" applyAlignment="1">
      <alignment horizontal="center" readingOrder="2"/>
    </xf>
    <xf numFmtId="0" fontId="11" fillId="5" borderId="51" xfId="0" applyFont="1" applyFill="1" applyBorder="1" applyAlignment="1">
      <alignment horizontal="center" vertical="center" readingOrder="2"/>
    </xf>
    <xf numFmtId="0" fontId="11" fillId="5" borderId="51" xfId="0" applyFont="1" applyFill="1" applyBorder="1" applyAlignment="1">
      <alignment horizontal="center" vertical="center" readingOrder="1"/>
    </xf>
    <xf numFmtId="1" fontId="11" fillId="5" borderId="51" xfId="0" applyNumberFormat="1" applyFont="1" applyFill="1" applyBorder="1" applyAlignment="1">
      <alignment horizontal="center" vertical="center" readingOrder="2"/>
    </xf>
    <xf numFmtId="164" fontId="11" fillId="5" borderId="51" xfId="0" applyNumberFormat="1" applyFont="1" applyFill="1" applyBorder="1" applyAlignment="1">
      <alignment horizontal="center" vertical="center" readingOrder="1"/>
    </xf>
    <xf numFmtId="0" fontId="2" fillId="5" borderId="0" xfId="0" applyFont="1" applyFill="1" applyProtection="1">
      <protection locked="0" hidden="1"/>
    </xf>
    <xf numFmtId="0" fontId="2" fillId="5" borderId="0" xfId="0" applyFont="1" applyFill="1"/>
    <xf numFmtId="1" fontId="12" fillId="5" borderId="11" xfId="0" applyNumberFormat="1" applyFont="1" applyFill="1" applyBorder="1" applyAlignment="1">
      <alignment horizontal="center" vertical="center" readingOrder="1"/>
    </xf>
    <xf numFmtId="0" fontId="2" fillId="5" borderId="56" xfId="0" applyFont="1" applyFill="1" applyBorder="1"/>
    <xf numFmtId="0" fontId="2" fillId="5" borderId="55" xfId="0" applyFont="1" applyFill="1" applyBorder="1"/>
    <xf numFmtId="0" fontId="0" fillId="5" borderId="55" xfId="0" applyFill="1" applyBorder="1"/>
    <xf numFmtId="0" fontId="37" fillId="5" borderId="58" xfId="0" applyFont="1" applyFill="1" applyBorder="1" applyAlignment="1" applyProtection="1">
      <alignment horizontal="center" vertical="center"/>
      <protection locked="0" hidden="1"/>
    </xf>
    <xf numFmtId="0" fontId="37" fillId="5" borderId="0" xfId="0" applyFont="1" applyFill="1" applyAlignment="1" applyProtection="1">
      <alignment horizontal="center" vertical="center"/>
      <protection locked="0" hidden="1"/>
    </xf>
    <xf numFmtId="2" fontId="37" fillId="5" borderId="0" xfId="0" applyNumberFormat="1" applyFont="1" applyFill="1" applyAlignment="1" applyProtection="1">
      <alignment horizontal="center" vertical="center"/>
      <protection locked="0" hidden="1"/>
    </xf>
    <xf numFmtId="2" fontId="37" fillId="5" borderId="57" xfId="0" applyNumberFormat="1" applyFont="1" applyFill="1" applyBorder="1" applyAlignment="1" applyProtection="1">
      <alignment horizontal="center" vertical="center"/>
      <protection locked="0" hidden="1"/>
    </xf>
    <xf numFmtId="164" fontId="10" fillId="5" borderId="51" xfId="3" applyNumberFormat="1" applyFont="1" applyFill="1" applyBorder="1" applyAlignment="1" applyProtection="1">
      <alignment horizontal="center" readingOrder="1"/>
      <protection locked="0"/>
    </xf>
    <xf numFmtId="164" fontId="10" fillId="5" borderId="3" xfId="3" applyNumberFormat="1" applyFont="1" applyFill="1" applyBorder="1" applyAlignment="1" applyProtection="1">
      <alignment horizontal="center" readingOrder="1"/>
      <protection locked="0"/>
    </xf>
    <xf numFmtId="164" fontId="10" fillId="5" borderId="2" xfId="3" applyNumberFormat="1" applyFont="1" applyFill="1" applyBorder="1" applyAlignment="1" applyProtection="1">
      <alignment horizontal="center" readingOrder="1"/>
      <protection hidden="1"/>
    </xf>
    <xf numFmtId="2" fontId="10" fillId="5" borderId="51" xfId="3" applyNumberFormat="1" applyFont="1" applyFill="1" applyBorder="1" applyAlignment="1" applyProtection="1">
      <alignment horizontal="center" readingOrder="1"/>
      <protection locked="0"/>
    </xf>
    <xf numFmtId="2" fontId="10" fillId="5" borderId="2" xfId="3" applyNumberFormat="1" applyFont="1" applyFill="1" applyBorder="1" applyAlignment="1" applyProtection="1">
      <alignment horizontal="center" readingOrder="1"/>
      <protection hidden="1"/>
    </xf>
    <xf numFmtId="2" fontId="10" fillId="5" borderId="11" xfId="3" applyNumberFormat="1" applyFont="1" applyFill="1" applyBorder="1" applyAlignment="1" applyProtection="1">
      <alignment horizontal="center" readingOrder="1"/>
      <protection locked="0"/>
    </xf>
    <xf numFmtId="164" fontId="37" fillId="6" borderId="6" xfId="0" applyNumberFormat="1" applyFont="1" applyFill="1" applyBorder="1" applyAlignment="1" applyProtection="1">
      <alignment horizontal="center" vertical="center"/>
      <protection hidden="1"/>
    </xf>
    <xf numFmtId="164" fontId="2" fillId="3" borderId="5" xfId="2" applyNumberFormat="1" applyBorder="1" applyAlignment="1" applyProtection="1">
      <alignment horizontal="center" vertical="center"/>
      <protection hidden="1"/>
    </xf>
    <xf numFmtId="164" fontId="2" fillId="3" borderId="4" xfId="2" applyNumberFormat="1" applyBorder="1" applyAlignment="1" applyProtection="1">
      <alignment horizontal="center" vertical="center"/>
      <protection hidden="1"/>
    </xf>
    <xf numFmtId="1" fontId="9" fillId="0" borderId="0" xfId="0" applyNumberFormat="1" applyFont="1" applyAlignment="1" applyProtection="1">
      <alignment horizontal="center" vertical="center"/>
      <protection locked="0" hidden="1"/>
    </xf>
    <xf numFmtId="1" fontId="37" fillId="6" borderId="6" xfId="0" applyNumberFormat="1" applyFont="1" applyFill="1" applyBorder="1" applyAlignment="1" applyProtection="1">
      <alignment horizontal="center" vertical="center"/>
      <protection hidden="1"/>
    </xf>
    <xf numFmtId="1" fontId="2" fillId="3" borderId="5" xfId="2" applyNumberFormat="1" applyBorder="1" applyAlignment="1" applyProtection="1">
      <alignment horizontal="center" vertical="center"/>
      <protection hidden="1"/>
    </xf>
    <xf numFmtId="1" fontId="2" fillId="3" borderId="4" xfId="2" applyNumberFormat="1" applyBorder="1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locked="0" hidden="1"/>
    </xf>
    <xf numFmtId="1" fontId="10" fillId="5" borderId="51" xfId="3" applyNumberFormat="1" applyFont="1" applyFill="1" applyBorder="1" applyAlignment="1" applyProtection="1">
      <alignment horizontal="center" readingOrder="1"/>
      <protection locked="0"/>
    </xf>
    <xf numFmtId="1" fontId="10" fillId="5" borderId="2" xfId="3" applyNumberFormat="1" applyFont="1" applyFill="1" applyBorder="1" applyAlignment="1" applyProtection="1">
      <alignment horizontal="center" readingOrder="1"/>
      <protection hidden="1"/>
    </xf>
    <xf numFmtId="0" fontId="16" fillId="0" borderId="0" xfId="5" applyFont="1" applyAlignment="1" applyProtection="1">
      <alignment vertical="center" wrapText="1" readingOrder="2"/>
      <protection locked="0" hidden="1"/>
    </xf>
    <xf numFmtId="0" fontId="12" fillId="9" borderId="13" xfId="5" applyFont="1" applyFill="1" applyBorder="1" applyAlignment="1" applyProtection="1">
      <alignment horizontal="center" vertical="center" readingOrder="2"/>
      <protection locked="0" hidden="1"/>
    </xf>
    <xf numFmtId="0" fontId="12" fillId="9" borderId="12" xfId="5" applyFont="1" applyFill="1" applyBorder="1" applyAlignment="1" applyProtection="1">
      <alignment horizontal="center" vertical="center" readingOrder="2"/>
      <protection locked="0" hidden="1"/>
    </xf>
    <xf numFmtId="165" fontId="10" fillId="8" borderId="17" xfId="5" applyNumberFormat="1" applyFont="1" applyFill="1" applyBorder="1" applyAlignment="1" applyProtection="1">
      <alignment horizontal="center" vertical="center" readingOrder="2"/>
      <protection hidden="1"/>
    </xf>
    <xf numFmtId="164" fontId="2" fillId="5" borderId="4" xfId="2" applyNumberFormat="1" applyFill="1" applyBorder="1" applyAlignment="1" applyProtection="1">
      <alignment horizontal="center" vertical="center"/>
      <protection hidden="1"/>
    </xf>
    <xf numFmtId="0" fontId="2" fillId="5" borderId="0" xfId="0" applyFont="1" applyFill="1" applyProtection="1">
      <protection hidden="1"/>
    </xf>
    <xf numFmtId="3" fontId="11" fillId="0" borderId="59" xfId="4" applyNumberFormat="1" applyFont="1" applyBorder="1" applyAlignment="1" applyProtection="1">
      <alignment horizontal="center" vertical="center" readingOrder="2"/>
      <protection hidden="1"/>
    </xf>
    <xf numFmtId="3" fontId="11" fillId="0" borderId="11" xfId="4" applyNumberFormat="1" applyFont="1" applyBorder="1" applyAlignment="1" applyProtection="1">
      <alignment horizontal="center" vertical="center" readingOrder="2"/>
      <protection hidden="1"/>
    </xf>
    <xf numFmtId="14" fontId="17" fillId="0" borderId="0" xfId="5" applyNumberFormat="1" applyFont="1" applyAlignment="1" applyProtection="1">
      <alignment horizontal="center" vertical="center" readingOrder="2"/>
      <protection locked="0" hidden="1"/>
    </xf>
    <xf numFmtId="0" fontId="12" fillId="9" borderId="25" xfId="5" applyFont="1" applyFill="1" applyBorder="1" applyAlignment="1" applyProtection="1">
      <alignment horizontal="center" vertical="center" readingOrder="2"/>
      <protection locked="0" hidden="1"/>
    </xf>
    <xf numFmtId="14" fontId="8" fillId="5" borderId="61" xfId="1" applyNumberFormat="1" applyFont="1" applyFill="1" applyBorder="1" applyAlignment="1">
      <alignment horizontal="center" vertical="center"/>
    </xf>
    <xf numFmtId="0" fontId="43" fillId="5" borderId="0" xfId="0" applyFont="1" applyFill="1" applyProtection="1">
      <protection locked="0" hidden="1"/>
    </xf>
    <xf numFmtId="0" fontId="43" fillId="0" borderId="0" xfId="0" applyFont="1" applyProtection="1">
      <protection locked="0" hidden="1"/>
    </xf>
    <xf numFmtId="0" fontId="44" fillId="0" borderId="0" xfId="0" applyFont="1" applyProtection="1">
      <protection locked="0" hidden="1"/>
    </xf>
    <xf numFmtId="14" fontId="42" fillId="5" borderId="0" xfId="1" applyNumberFormat="1" applyFont="1" applyFill="1" applyBorder="1" applyAlignment="1" applyProtection="1">
      <alignment vertical="center"/>
      <protection locked="0" hidden="1"/>
    </xf>
    <xf numFmtId="14" fontId="44" fillId="0" borderId="0" xfId="0" applyNumberFormat="1" applyFont="1" applyProtection="1">
      <protection locked="0" hidden="1"/>
    </xf>
    <xf numFmtId="0" fontId="42" fillId="0" borderId="0" xfId="0" applyFont="1" applyAlignment="1" applyProtection="1">
      <alignment vertical="center"/>
      <protection locked="0" hidden="1"/>
    </xf>
    <xf numFmtId="0" fontId="42" fillId="0" borderId="0" xfId="0" applyFont="1" applyAlignment="1" applyProtection="1">
      <alignment horizontal="center" vertical="center"/>
      <protection locked="0" hidden="1"/>
    </xf>
    <xf numFmtId="0" fontId="11" fillId="11" borderId="0" xfId="0" applyFont="1" applyFill="1" applyAlignment="1">
      <alignment horizontal="center" readingOrder="2"/>
    </xf>
    <xf numFmtId="14" fontId="8" fillId="5" borderId="0" xfId="1" applyNumberFormat="1" applyFont="1" applyFill="1" applyBorder="1" applyAlignment="1">
      <alignment horizontal="center" vertical="center"/>
    </xf>
    <xf numFmtId="0" fontId="45" fillId="0" borderId="0" xfId="0" applyFont="1" applyAlignment="1" applyProtection="1">
      <alignment vertical="center"/>
      <protection locked="0" hidden="1"/>
    </xf>
    <xf numFmtId="0" fontId="38" fillId="5" borderId="0" xfId="0" applyFont="1" applyFill="1"/>
    <xf numFmtId="0" fontId="38" fillId="5" borderId="0" xfId="0" applyFont="1" applyFill="1" applyProtection="1">
      <protection locked="0" hidden="1"/>
    </xf>
    <xf numFmtId="164" fontId="47" fillId="5" borderId="0" xfId="0" applyNumberFormat="1" applyFont="1" applyFill="1" applyProtection="1">
      <protection locked="0" hidden="1"/>
    </xf>
    <xf numFmtId="0" fontId="46" fillId="0" borderId="0" xfId="0" applyFont="1" applyProtection="1">
      <protection locked="0" hidden="1"/>
    </xf>
    <xf numFmtId="164" fontId="47" fillId="5" borderId="0" xfId="0" applyNumberFormat="1" applyFont="1" applyFill="1" applyProtection="1">
      <protection hidden="1"/>
    </xf>
    <xf numFmtId="0" fontId="43" fillId="0" borderId="0" xfId="0" applyFont="1" applyProtection="1">
      <protection hidden="1"/>
    </xf>
    <xf numFmtId="0" fontId="38" fillId="5" borderId="0" xfId="0" applyFont="1" applyFill="1" applyProtection="1">
      <protection hidden="1"/>
    </xf>
    <xf numFmtId="0" fontId="21" fillId="12" borderId="21" xfId="5" applyFont="1" applyFill="1" applyBorder="1" applyAlignment="1" applyProtection="1">
      <alignment horizontal="center" vertical="center" readingOrder="2"/>
      <protection locked="0" hidden="1"/>
    </xf>
    <xf numFmtId="0" fontId="16" fillId="12" borderId="21" xfId="5" applyFont="1" applyFill="1" applyBorder="1" applyAlignment="1" applyProtection="1">
      <alignment horizontal="center" vertical="center" readingOrder="2"/>
      <protection locked="0" hidden="1"/>
    </xf>
    <xf numFmtId="0" fontId="16" fillId="12" borderId="19" xfId="5" applyFont="1" applyFill="1" applyBorder="1" applyAlignment="1" applyProtection="1">
      <alignment horizontal="center" vertical="center" readingOrder="2"/>
      <protection locked="0" hidden="1"/>
    </xf>
    <xf numFmtId="1" fontId="17" fillId="12" borderId="17" xfId="5" applyNumberFormat="1" applyFont="1" applyFill="1" applyBorder="1" applyAlignment="1" applyProtection="1">
      <alignment horizontal="center" vertical="center" readingOrder="2"/>
      <protection hidden="1"/>
    </xf>
    <xf numFmtId="1" fontId="17" fillId="12" borderId="21" xfId="5" applyNumberFormat="1" applyFont="1" applyFill="1" applyBorder="1" applyAlignment="1" applyProtection="1">
      <alignment horizontal="center" vertical="center" readingOrder="2"/>
      <protection hidden="1"/>
    </xf>
    <xf numFmtId="9" fontId="17" fillId="12" borderId="21" xfId="4" applyFont="1" applyFill="1" applyBorder="1" applyAlignment="1" applyProtection="1">
      <alignment horizontal="center" vertical="center" readingOrder="2"/>
      <protection hidden="1"/>
    </xf>
    <xf numFmtId="164" fontId="2" fillId="5" borderId="0" xfId="0" applyNumberFormat="1" applyFont="1" applyFill="1" applyProtection="1">
      <protection hidden="1"/>
    </xf>
    <xf numFmtId="2" fontId="10" fillId="5" borderId="3" xfId="3" applyNumberFormat="1" applyFont="1" applyFill="1" applyBorder="1" applyAlignment="1" applyProtection="1">
      <alignment horizontal="center" readingOrder="1"/>
      <protection locked="0"/>
    </xf>
    <xf numFmtId="1" fontId="10" fillId="5" borderId="3" xfId="3" applyNumberFormat="1" applyFont="1" applyFill="1" applyBorder="1" applyAlignment="1" applyProtection="1">
      <alignment horizontal="center" readingOrder="1"/>
      <protection locked="0"/>
    </xf>
    <xf numFmtId="2" fontId="10" fillId="5" borderId="2" xfId="3" applyNumberFormat="1" applyFont="1" applyFill="1" applyBorder="1" applyAlignment="1" applyProtection="1">
      <alignment horizontal="center" readingOrder="1"/>
      <protection locked="0"/>
    </xf>
    <xf numFmtId="0" fontId="38" fillId="5" borderId="6" xfId="0" applyFont="1" applyFill="1" applyBorder="1" applyProtection="1">
      <protection hidden="1"/>
    </xf>
    <xf numFmtId="0" fontId="38" fillId="5" borderId="60" xfId="0" applyFont="1" applyFill="1" applyBorder="1" applyProtection="1">
      <protection hidden="1"/>
    </xf>
    <xf numFmtId="0" fontId="38" fillId="5" borderId="55" xfId="0" applyFont="1" applyFill="1" applyBorder="1"/>
    <xf numFmtId="0" fontId="11" fillId="10" borderId="51" xfId="0" applyFont="1" applyFill="1" applyBorder="1" applyAlignment="1">
      <alignment horizontal="center" readingOrder="2"/>
    </xf>
    <xf numFmtId="14" fontId="8" fillId="5" borderId="63" xfId="1" applyNumberFormat="1" applyFont="1" applyFill="1" applyBorder="1" applyAlignment="1">
      <alignment horizontal="center" vertical="center"/>
    </xf>
    <xf numFmtId="164" fontId="10" fillId="5" borderId="51" xfId="3" applyNumberFormat="1" applyFont="1" applyFill="1" applyBorder="1" applyAlignment="1">
      <alignment horizontal="center" readingOrder="1"/>
    </xf>
    <xf numFmtId="2" fontId="10" fillId="5" borderId="51" xfId="3" applyNumberFormat="1" applyFont="1" applyFill="1" applyBorder="1" applyAlignment="1">
      <alignment horizontal="center" readingOrder="1"/>
    </xf>
    <xf numFmtId="1" fontId="10" fillId="5" borderId="51" xfId="3" applyNumberFormat="1" applyFont="1" applyFill="1" applyBorder="1" applyAlignment="1">
      <alignment horizontal="center" readingOrder="1"/>
    </xf>
    <xf numFmtId="0" fontId="2" fillId="5" borderId="51" xfId="0" applyFont="1" applyFill="1" applyBorder="1"/>
    <xf numFmtId="0" fontId="2" fillId="5" borderId="64" xfId="0" applyFont="1" applyFill="1" applyBorder="1"/>
    <xf numFmtId="0" fontId="2" fillId="5" borderId="65" xfId="0" applyFont="1" applyFill="1" applyBorder="1"/>
    <xf numFmtId="0" fontId="11" fillId="11" borderId="51" xfId="0" applyFont="1" applyFill="1" applyBorder="1" applyAlignment="1">
      <alignment horizontal="center" readingOrder="2"/>
    </xf>
    <xf numFmtId="0" fontId="2" fillId="5" borderId="66" xfId="0" applyFont="1" applyFill="1" applyBorder="1"/>
    <xf numFmtId="0" fontId="2" fillId="5" borderId="62" xfId="0" applyFont="1" applyFill="1" applyBorder="1"/>
    <xf numFmtId="0" fontId="38" fillId="5" borderId="62" xfId="0" applyFont="1" applyFill="1" applyBorder="1"/>
    <xf numFmtId="0" fontId="37" fillId="5" borderId="66" xfId="0" applyFont="1" applyFill="1" applyBorder="1"/>
    <xf numFmtId="0" fontId="37" fillId="5" borderId="55" xfId="0" applyFont="1" applyFill="1" applyBorder="1"/>
    <xf numFmtId="0" fontId="37" fillId="5" borderId="62" xfId="0" applyFont="1" applyFill="1" applyBorder="1"/>
    <xf numFmtId="0" fontId="38" fillId="5" borderId="66" xfId="0" applyFont="1" applyFill="1" applyBorder="1"/>
    <xf numFmtId="0" fontId="11" fillId="12" borderId="21" xfId="5" applyFont="1" applyFill="1" applyBorder="1" applyAlignment="1" applyProtection="1">
      <alignment horizontal="center" vertical="center" readingOrder="2"/>
      <protection locked="0" hidden="1"/>
    </xf>
    <xf numFmtId="0" fontId="11" fillId="12" borderId="19" xfId="5" applyFont="1" applyFill="1" applyBorder="1" applyAlignment="1" applyProtection="1">
      <alignment horizontal="center" vertical="center" readingOrder="2"/>
      <protection locked="0" hidden="1"/>
    </xf>
    <xf numFmtId="1" fontId="11" fillId="12" borderId="42" xfId="5" applyNumberFormat="1" applyFont="1" applyFill="1" applyBorder="1" applyAlignment="1" applyProtection="1">
      <alignment horizontal="center" vertical="center" readingOrder="2"/>
      <protection locked="0" hidden="1"/>
    </xf>
    <xf numFmtId="1" fontId="11" fillId="12" borderId="42" xfId="4" applyNumberFormat="1" applyFont="1" applyFill="1" applyBorder="1" applyAlignment="1" applyProtection="1">
      <alignment horizontal="center" vertical="center" readingOrder="2"/>
      <protection locked="0" hidden="1"/>
    </xf>
    <xf numFmtId="1" fontId="11" fillId="12" borderId="46" xfId="5" applyNumberFormat="1" applyFont="1" applyFill="1" applyBorder="1" applyAlignment="1" applyProtection="1">
      <alignment horizontal="center" vertical="center" readingOrder="2"/>
      <protection locked="0" hidden="1"/>
    </xf>
    <xf numFmtId="165" fontId="10" fillId="8" borderId="17" xfId="5" applyNumberFormat="1" applyFont="1" applyFill="1" applyBorder="1" applyAlignment="1" applyProtection="1">
      <alignment horizontal="center" vertical="center" readingOrder="2"/>
      <protection locked="0" hidden="1"/>
    </xf>
    <xf numFmtId="166" fontId="11" fillId="5" borderId="51" xfId="0" applyNumberFormat="1" applyFont="1" applyFill="1" applyBorder="1" applyAlignment="1">
      <alignment horizontal="center" vertical="center" readingOrder="1"/>
    </xf>
    <xf numFmtId="166" fontId="11" fillId="5" borderId="67" xfId="0" applyNumberFormat="1" applyFont="1" applyFill="1" applyBorder="1" applyAlignment="1">
      <alignment horizontal="center" vertical="center" readingOrder="1"/>
    </xf>
    <xf numFmtId="166" fontId="10" fillId="5" borderId="51" xfId="3" applyNumberFormat="1" applyFont="1" applyFill="1" applyBorder="1" applyAlignment="1" applyProtection="1">
      <alignment horizontal="center" readingOrder="1"/>
      <protection locked="0"/>
    </xf>
    <xf numFmtId="167" fontId="10" fillId="5" borderId="67" xfId="3" applyNumberFormat="1" applyFont="1" applyFill="1" applyBorder="1" applyAlignment="1">
      <alignment horizontal="center" readingOrder="1"/>
    </xf>
    <xf numFmtId="0" fontId="11" fillId="4" borderId="2" xfId="0" applyFont="1" applyFill="1" applyBorder="1" applyAlignment="1" applyProtection="1">
      <alignment horizontal="center" vertical="center" wrapText="1"/>
      <protection locked="0" hidden="1"/>
    </xf>
    <xf numFmtId="0" fontId="11" fillId="4" borderId="2" xfId="0" applyFont="1" applyFill="1" applyBorder="1" applyAlignment="1" applyProtection="1">
      <alignment horizontal="center" vertical="center" wrapText="1"/>
      <protection locked="0" hidden="1"/>
    </xf>
    <xf numFmtId="14" fontId="42" fillId="5" borderId="0" xfId="1" applyNumberFormat="1" applyFont="1" applyFill="1" applyBorder="1" applyAlignment="1" applyProtection="1">
      <alignment horizontal="center" vertical="center"/>
      <protection locked="0" hidden="1"/>
    </xf>
    <xf numFmtId="0" fontId="5" fillId="0" borderId="1" xfId="0" applyFont="1" applyBorder="1" applyAlignment="1" applyProtection="1">
      <alignment horizontal="center" vertical="center"/>
      <protection locked="0" hidden="1"/>
    </xf>
    <xf numFmtId="0" fontId="11" fillId="4" borderId="3" xfId="0" applyFont="1" applyFill="1" applyBorder="1" applyAlignment="1" applyProtection="1">
      <alignment horizontal="center" vertical="center" wrapText="1"/>
      <protection locked="0" hidden="1"/>
    </xf>
    <xf numFmtId="0" fontId="11" fillId="4" borderId="10" xfId="0" applyFont="1" applyFill="1" applyBorder="1" applyAlignment="1" applyProtection="1">
      <alignment horizontal="center" vertical="center" wrapText="1"/>
      <protection locked="0" hidden="1"/>
    </xf>
    <xf numFmtId="14" fontId="16" fillId="0" borderId="21" xfId="5" applyNumberFormat="1" applyFont="1" applyBorder="1" applyAlignment="1" applyProtection="1">
      <alignment horizontal="center" vertical="center" wrapText="1" readingOrder="2"/>
      <protection hidden="1"/>
    </xf>
    <xf numFmtId="0" fontId="16" fillId="0" borderId="21" xfId="5" applyFont="1" applyBorder="1" applyAlignment="1" applyProtection="1">
      <alignment horizontal="center" vertical="center" wrapText="1" readingOrder="2"/>
      <protection hidden="1"/>
    </xf>
    <xf numFmtId="1" fontId="16" fillId="0" borderId="37" xfId="5" applyNumberFormat="1" applyFont="1" applyBorder="1" applyAlignment="1" applyProtection="1">
      <alignment horizontal="center" vertical="center" readingOrder="2"/>
      <protection locked="0" hidden="1"/>
    </xf>
    <xf numFmtId="1" fontId="16" fillId="0" borderId="15" xfId="5" applyNumberFormat="1" applyFont="1" applyBorder="1" applyAlignment="1" applyProtection="1">
      <alignment horizontal="center" vertical="center" readingOrder="2"/>
      <protection locked="0" hidden="1"/>
    </xf>
    <xf numFmtId="0" fontId="16" fillId="0" borderId="0" xfId="5" applyFont="1" applyAlignment="1" applyProtection="1">
      <alignment horizontal="center" vertical="center" readingOrder="2"/>
      <protection locked="0" hidden="1"/>
    </xf>
    <xf numFmtId="0" fontId="16" fillId="0" borderId="0" xfId="5" applyFont="1" applyAlignment="1" applyProtection="1">
      <alignment horizontal="center" vertical="center" wrapText="1" readingOrder="2"/>
      <protection locked="0" hidden="1"/>
    </xf>
    <xf numFmtId="0" fontId="16" fillId="0" borderId="0" xfId="5" applyFont="1" applyAlignment="1" applyProtection="1">
      <alignment horizontal="center" wrapText="1" readingOrder="2"/>
      <protection locked="0" hidden="1"/>
    </xf>
    <xf numFmtId="0" fontId="28" fillId="9" borderId="12" xfId="5" applyFont="1" applyFill="1" applyBorder="1" applyAlignment="1" applyProtection="1">
      <alignment horizontal="center" vertical="center" readingOrder="2"/>
      <protection locked="0" hidden="1"/>
    </xf>
    <xf numFmtId="0" fontId="28" fillId="9" borderId="26" xfId="5" applyFont="1" applyFill="1" applyBorder="1" applyAlignment="1" applyProtection="1">
      <alignment horizontal="center" vertical="center" readingOrder="2"/>
      <protection locked="0" hidden="1"/>
    </xf>
    <xf numFmtId="0" fontId="18" fillId="0" borderId="40" xfId="5" applyFont="1" applyBorder="1" applyAlignment="1" applyProtection="1">
      <alignment horizontal="center" vertical="center" readingOrder="2"/>
      <protection locked="0" hidden="1"/>
    </xf>
    <xf numFmtId="0" fontId="18" fillId="0" borderId="39" xfId="5" applyFont="1" applyBorder="1" applyAlignment="1" applyProtection="1">
      <alignment horizontal="center" vertical="center" readingOrder="2"/>
      <protection locked="0" hidden="1"/>
    </xf>
    <xf numFmtId="0" fontId="18" fillId="0" borderId="38" xfId="5" applyFont="1" applyBorder="1" applyAlignment="1" applyProtection="1">
      <alignment horizontal="center" vertical="center" readingOrder="2"/>
      <protection locked="0" hidden="1"/>
    </xf>
    <xf numFmtId="0" fontId="18" fillId="0" borderId="37" xfId="5" applyFont="1" applyBorder="1" applyAlignment="1" applyProtection="1">
      <alignment horizontal="center" vertical="center"/>
      <protection locked="0" hidden="1"/>
    </xf>
    <xf numFmtId="0" fontId="18" fillId="0" borderId="36" xfId="5" applyFont="1" applyBorder="1" applyAlignment="1" applyProtection="1">
      <alignment horizontal="center" vertical="center"/>
      <protection locked="0" hidden="1"/>
    </xf>
    <xf numFmtId="0" fontId="18" fillId="0" borderId="15" xfId="5" applyFont="1" applyBorder="1" applyAlignment="1" applyProtection="1">
      <alignment horizontal="center" vertical="center"/>
      <protection locked="0" hidden="1"/>
    </xf>
    <xf numFmtId="0" fontId="20" fillId="7" borderId="0" xfId="5" applyFont="1" applyFill="1" applyAlignment="1" applyProtection="1">
      <alignment horizontal="center" vertical="center" readingOrder="2"/>
      <protection locked="0" hidden="1"/>
    </xf>
    <xf numFmtId="0" fontId="13" fillId="0" borderId="0" xfId="0" applyFont="1" applyAlignment="1" applyProtection="1">
      <alignment horizontal="center" vertical="center"/>
      <protection locked="0" hidden="1"/>
    </xf>
    <xf numFmtId="0" fontId="30" fillId="9" borderId="32" xfId="5" applyFont="1" applyFill="1" applyBorder="1" applyAlignment="1" applyProtection="1">
      <alignment horizontal="center" vertical="center" readingOrder="2"/>
      <protection locked="0" hidden="1"/>
    </xf>
    <xf numFmtId="0" fontId="30" fillId="9" borderId="31" xfId="5" applyFont="1" applyFill="1" applyBorder="1" applyAlignment="1" applyProtection="1">
      <alignment horizontal="center" vertical="center" readingOrder="2"/>
      <protection locked="0" hidden="1"/>
    </xf>
    <xf numFmtId="0" fontId="30" fillId="9" borderId="30" xfId="5" applyFont="1" applyFill="1" applyBorder="1" applyAlignment="1" applyProtection="1">
      <alignment horizontal="center" vertical="center" readingOrder="2"/>
      <protection locked="0" hidden="1"/>
    </xf>
    <xf numFmtId="0" fontId="30" fillId="9" borderId="29" xfId="5" applyFont="1" applyFill="1" applyBorder="1" applyAlignment="1" applyProtection="1">
      <alignment horizontal="center" vertical="center" readingOrder="2"/>
      <protection locked="0" hidden="1"/>
    </xf>
    <xf numFmtId="0" fontId="30" fillId="9" borderId="28" xfId="5" applyFont="1" applyFill="1" applyBorder="1" applyAlignment="1" applyProtection="1">
      <alignment horizontal="center" vertical="center" readingOrder="2"/>
      <protection locked="0" hidden="1"/>
    </xf>
    <xf numFmtId="0" fontId="16" fillId="0" borderId="21" xfId="5" applyFont="1" applyBorder="1" applyAlignment="1" applyProtection="1">
      <alignment horizontal="center" vertical="center" wrapText="1" readingOrder="2"/>
      <protection locked="0" hidden="1"/>
    </xf>
    <xf numFmtId="0" fontId="25" fillId="0" borderId="0" xfId="5" applyFont="1" applyAlignment="1" applyProtection="1">
      <alignment horizontal="center" vertical="center" wrapText="1" readingOrder="2"/>
      <protection locked="0" hidden="1"/>
    </xf>
    <xf numFmtId="0" fontId="16" fillId="0" borderId="17" xfId="5" applyFont="1" applyBorder="1" applyAlignment="1" applyProtection="1">
      <alignment horizontal="center" vertical="center" readingOrder="2"/>
      <protection locked="0" hidden="1"/>
    </xf>
    <xf numFmtId="0" fontId="16" fillId="0" borderId="18" xfId="5" applyFont="1" applyBorder="1" applyAlignment="1" applyProtection="1">
      <alignment horizontal="center" vertical="center" readingOrder="2"/>
      <protection locked="0" hidden="1"/>
    </xf>
    <xf numFmtId="0" fontId="18" fillId="0" borderId="0" xfId="5" applyFont="1" applyAlignment="1" applyProtection="1">
      <alignment horizontal="center" vertical="center" readingOrder="2"/>
      <protection locked="0" hidden="1"/>
    </xf>
    <xf numFmtId="0" fontId="19" fillId="0" borderId="0" xfId="5" applyFont="1" applyAlignment="1" applyProtection="1">
      <alignment horizontal="center" vertical="center"/>
      <protection locked="0" hidden="1"/>
    </xf>
    <xf numFmtId="0" fontId="30" fillId="9" borderId="27" xfId="5" applyFont="1" applyFill="1" applyBorder="1" applyAlignment="1" applyProtection="1">
      <alignment horizontal="center" vertical="center" readingOrder="2"/>
      <protection locked="0" hidden="1"/>
    </xf>
    <xf numFmtId="0" fontId="30" fillId="9" borderId="0" xfId="5" applyFont="1" applyFill="1" applyAlignment="1" applyProtection="1">
      <alignment horizontal="center" vertical="center" readingOrder="2"/>
      <protection locked="0" hidden="1"/>
    </xf>
    <xf numFmtId="0" fontId="30" fillId="9" borderId="13" xfId="5" applyFont="1" applyFill="1" applyBorder="1" applyAlignment="1" applyProtection="1">
      <alignment horizontal="center" vertical="center" readingOrder="2"/>
      <protection locked="0" hidden="1"/>
    </xf>
    <xf numFmtId="0" fontId="30" fillId="9" borderId="12" xfId="5" applyFont="1" applyFill="1" applyBorder="1" applyAlignment="1" applyProtection="1">
      <alignment horizontal="center" vertical="center" readingOrder="2"/>
      <protection locked="0" hidden="1"/>
    </xf>
    <xf numFmtId="0" fontId="23" fillId="9" borderId="0" xfId="5" applyFont="1" applyFill="1" applyAlignment="1" applyProtection="1">
      <alignment horizontal="center" vertical="center" readingOrder="2"/>
      <protection locked="0" hidden="1"/>
    </xf>
    <xf numFmtId="0" fontId="16" fillId="0" borderId="19" xfId="5" applyFont="1" applyBorder="1" applyAlignment="1" applyProtection="1">
      <alignment horizontal="center" vertical="center" readingOrder="2"/>
      <protection locked="0" hidden="1"/>
    </xf>
    <xf numFmtId="0" fontId="31" fillId="9" borderId="35" xfId="5" applyFont="1" applyFill="1" applyBorder="1" applyAlignment="1" applyProtection="1">
      <alignment horizontal="center" vertical="center" readingOrder="2"/>
      <protection locked="0" hidden="1"/>
    </xf>
    <xf numFmtId="0" fontId="31" fillId="9" borderId="12" xfId="5" applyFont="1" applyFill="1" applyBorder="1" applyAlignment="1" applyProtection="1">
      <alignment horizontal="center" vertical="center" readingOrder="2"/>
      <protection locked="0" hidden="1"/>
    </xf>
    <xf numFmtId="0" fontId="31" fillId="9" borderId="34" xfId="5" applyFont="1" applyFill="1" applyBorder="1" applyAlignment="1" applyProtection="1">
      <alignment horizontal="center" vertical="center" readingOrder="2"/>
      <protection locked="0" hidden="1"/>
    </xf>
    <xf numFmtId="0" fontId="31" fillId="9" borderId="13" xfId="5" applyFont="1" applyFill="1" applyBorder="1" applyAlignment="1" applyProtection="1">
      <alignment horizontal="center" vertical="center" readingOrder="2"/>
      <protection locked="0" hidden="1"/>
    </xf>
    <xf numFmtId="0" fontId="31" fillId="9" borderId="22" xfId="5" applyFont="1" applyFill="1" applyBorder="1" applyAlignment="1" applyProtection="1">
      <alignment horizontal="center" vertical="center" readingOrder="2"/>
      <protection locked="0" hidden="1"/>
    </xf>
    <xf numFmtId="0" fontId="31" fillId="9" borderId="25" xfId="5" applyFont="1" applyFill="1" applyBorder="1" applyAlignment="1" applyProtection="1">
      <alignment horizontal="center" vertical="center" readingOrder="2"/>
      <protection locked="0" hidden="1"/>
    </xf>
    <xf numFmtId="0" fontId="12" fillId="9" borderId="40" xfId="5" applyFont="1" applyFill="1" applyBorder="1" applyAlignment="1" applyProtection="1">
      <alignment horizontal="center" vertical="center" readingOrder="2"/>
      <protection locked="0" hidden="1"/>
    </xf>
    <xf numFmtId="0" fontId="12" fillId="9" borderId="38" xfId="5" applyFont="1" applyFill="1" applyBorder="1" applyAlignment="1" applyProtection="1">
      <alignment horizontal="center" vertical="center" readingOrder="2"/>
      <protection locked="0" hidden="1"/>
    </xf>
    <xf numFmtId="0" fontId="12" fillId="9" borderId="47" xfId="5" applyFont="1" applyFill="1" applyBorder="1" applyAlignment="1" applyProtection="1">
      <alignment horizontal="center" vertical="center" readingOrder="2"/>
      <protection locked="0" hidden="1"/>
    </xf>
    <xf numFmtId="0" fontId="12" fillId="9" borderId="48" xfId="5" applyFont="1" applyFill="1" applyBorder="1" applyAlignment="1" applyProtection="1">
      <alignment horizontal="center" vertical="center" readingOrder="2"/>
      <protection locked="0" hidden="1"/>
    </xf>
    <xf numFmtId="1" fontId="11" fillId="0" borderId="45" xfId="5" applyNumberFormat="1" applyFont="1" applyBorder="1" applyAlignment="1" applyProtection="1">
      <alignment horizontal="center" vertical="center" readingOrder="2"/>
      <protection hidden="1"/>
    </xf>
    <xf numFmtId="1" fontId="11" fillId="0" borderId="49" xfId="5" applyNumberFormat="1" applyFont="1" applyBorder="1" applyAlignment="1" applyProtection="1">
      <alignment horizontal="center" vertical="center" readingOrder="2"/>
      <protection hidden="1"/>
    </xf>
    <xf numFmtId="0" fontId="12" fillId="9" borderId="25" xfId="5" applyFont="1" applyFill="1" applyBorder="1" applyAlignment="1" applyProtection="1">
      <alignment horizontal="center" vertical="center" readingOrder="2"/>
      <protection locked="0" hidden="1"/>
    </xf>
    <xf numFmtId="0" fontId="12" fillId="9" borderId="43" xfId="5" applyFont="1" applyFill="1" applyBorder="1" applyAlignment="1" applyProtection="1">
      <alignment horizontal="center" vertical="center" readingOrder="2"/>
      <protection locked="0" hidden="1"/>
    </xf>
    <xf numFmtId="0" fontId="12" fillId="9" borderId="16" xfId="5" applyFont="1" applyFill="1" applyBorder="1" applyAlignment="1" applyProtection="1">
      <alignment horizontal="center" vertical="center" readingOrder="2"/>
      <protection locked="0" hidden="1"/>
    </xf>
    <xf numFmtId="0" fontId="12" fillId="9" borderId="50" xfId="5" applyFont="1" applyFill="1" applyBorder="1" applyAlignment="1" applyProtection="1">
      <alignment horizontal="center" vertical="center" readingOrder="2"/>
      <protection locked="0" hidden="1"/>
    </xf>
    <xf numFmtId="0" fontId="11" fillId="0" borderId="21" xfId="5" applyFont="1" applyBorder="1" applyAlignment="1" applyProtection="1">
      <alignment horizontal="center" vertical="center" wrapText="1" readingOrder="2"/>
      <protection locked="0" hidden="1"/>
    </xf>
    <xf numFmtId="14" fontId="11" fillId="0" borderId="21" xfId="5" applyNumberFormat="1" applyFont="1" applyBorder="1" applyAlignment="1" applyProtection="1">
      <alignment horizontal="center" vertical="center" wrapText="1" readingOrder="2"/>
      <protection hidden="1"/>
    </xf>
    <xf numFmtId="0" fontId="11" fillId="0" borderId="21" xfId="5" applyFont="1" applyBorder="1" applyAlignment="1" applyProtection="1">
      <alignment horizontal="center" vertical="center" wrapText="1" readingOrder="2"/>
      <protection hidden="1"/>
    </xf>
    <xf numFmtId="1" fontId="11" fillId="0" borderId="45" xfId="5" applyNumberFormat="1" applyFont="1" applyBorder="1" applyAlignment="1" applyProtection="1">
      <alignment horizontal="center" vertical="center" readingOrder="2"/>
      <protection locked="0" hidden="1"/>
    </xf>
    <xf numFmtId="1" fontId="11" fillId="0" borderId="49" xfId="5" applyNumberFormat="1" applyFont="1" applyBorder="1" applyAlignment="1" applyProtection="1">
      <alignment horizontal="center" vertical="center" readingOrder="2"/>
      <protection locked="0" hidden="1"/>
    </xf>
    <xf numFmtId="0" fontId="41" fillId="0" borderId="0" xfId="5" applyFont="1" applyAlignment="1" applyProtection="1">
      <alignment horizontal="center" vertical="center" wrapText="1" readingOrder="2"/>
      <protection locked="0" hidden="1"/>
    </xf>
    <xf numFmtId="0" fontId="12" fillId="9" borderId="22" xfId="5" applyFont="1" applyFill="1" applyBorder="1" applyAlignment="1" applyProtection="1">
      <alignment horizontal="center" vertical="center" readingOrder="2"/>
      <protection locked="0" hidden="1"/>
    </xf>
    <xf numFmtId="0" fontId="36" fillId="9" borderId="35" xfId="5" applyFont="1" applyFill="1" applyBorder="1" applyAlignment="1" applyProtection="1">
      <alignment horizontal="center" vertical="center" readingOrder="2"/>
      <protection locked="0" hidden="1"/>
    </xf>
    <xf numFmtId="0" fontId="36" fillId="9" borderId="12" xfId="5" applyFont="1" applyFill="1" applyBorder="1" applyAlignment="1" applyProtection="1">
      <alignment horizontal="center" vertical="center" readingOrder="2"/>
      <protection locked="0" hidden="1"/>
    </xf>
    <xf numFmtId="0" fontId="36" fillId="9" borderId="34" xfId="5" applyFont="1" applyFill="1" applyBorder="1" applyAlignment="1" applyProtection="1">
      <alignment horizontal="center" vertical="center" readingOrder="2"/>
      <protection locked="0" hidden="1"/>
    </xf>
    <xf numFmtId="0" fontId="36" fillId="9" borderId="13" xfId="5" applyFont="1" applyFill="1" applyBorder="1" applyAlignment="1" applyProtection="1">
      <alignment horizontal="center" vertical="center" readingOrder="2"/>
      <protection locked="0" hidden="1"/>
    </xf>
    <xf numFmtId="0" fontId="36" fillId="9" borderId="22" xfId="5" applyFont="1" applyFill="1" applyBorder="1" applyAlignment="1" applyProtection="1">
      <alignment horizontal="center" vertical="center" readingOrder="2"/>
      <protection locked="0" hidden="1"/>
    </xf>
    <xf numFmtId="0" fontId="36" fillId="9" borderId="25" xfId="5" applyFont="1" applyFill="1" applyBorder="1" applyAlignment="1" applyProtection="1">
      <alignment horizontal="center" vertical="center" readingOrder="2"/>
      <protection locked="0" hidden="1"/>
    </xf>
    <xf numFmtId="0" fontId="0" fillId="0" borderId="0" xfId="0" applyAlignment="1" applyProtection="1">
      <alignment horizontal="center"/>
      <protection locked="0" hidden="1"/>
    </xf>
    <xf numFmtId="0" fontId="4" fillId="0" borderId="0" xfId="0" applyFont="1" applyAlignment="1" applyProtection="1">
      <alignment horizontal="center" vertical="center"/>
      <protection locked="0" hidden="1"/>
    </xf>
    <xf numFmtId="0" fontId="11" fillId="4" borderId="2" xfId="0" applyFont="1" applyFill="1" applyBorder="1" applyAlignment="1" applyProtection="1">
      <alignment vertical="center" wrapText="1"/>
      <protection locked="0" hidden="1"/>
    </xf>
  </cellXfs>
  <cellStyles count="8">
    <cellStyle name="20% - Accent1" xfId="1" builtinId="30"/>
    <cellStyle name="60% - Accent1" xfId="2" builtinId="32"/>
    <cellStyle name="Comma 2" xfId="6"/>
    <cellStyle name="Normal" xfId="0" builtinId="0"/>
    <cellStyle name="Normal 2" xfId="5"/>
    <cellStyle name="Normal_Sheet2" xfId="3"/>
    <cellStyle name="Percent" xfId="4" builtinId="5"/>
    <cellStyle name="عادي_نشرة المحافظة 2001" xfId="7"/>
  </cellStyles>
  <dxfs count="1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1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/>
      </border>
      <protection locked="0" hidden="1"/>
    </dxf>
    <dxf>
      <font>
        <strike val="0"/>
        <outline val="0"/>
        <shadow val="0"/>
        <u val="none"/>
        <vertAlign val="baseline"/>
        <sz val="11"/>
        <color theme="0"/>
        <name val="Calibri"/>
        <scheme val="minor"/>
      </font>
      <numFmt numFmtId="2" formatCode="0.00"/>
      <fill>
        <patternFill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4" formatCode="0.0"/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  <protection locked="1" hidden="1"/>
    </dxf>
    <dxf>
      <numFmt numFmtId="164" formatCode="0.0"/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" formatCode="0"/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  <protection locked="1" hidden="1"/>
    </dxf>
    <dxf>
      <numFmt numFmtId="1" formatCode="0"/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" formatCode="0"/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  <protection locked="1" hidden="1"/>
    </dxf>
    <dxf>
      <numFmt numFmtId="1" formatCode="0"/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" formatCode="0"/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  <protection locked="1" hidden="1"/>
    </dxf>
    <dxf>
      <numFmt numFmtId="1" formatCode="0"/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2" formatCode="0.00"/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  <protection locked="1" hidden="1"/>
    </dxf>
    <dxf>
      <numFmt numFmtId="2" formatCode="0.00"/>
      <border diagonalUp="0" diagonalDown="0">
        <left/>
        <right/>
        <top style="thin">
          <color theme="0"/>
        </top>
        <bottom style="thin">
          <color theme="0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" formatCode="0"/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  <protection locked="1" hidden="1"/>
    </dxf>
    <dxf>
      <numFmt numFmtId="1" formatCode="0"/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" formatCode="0"/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  <protection locked="1" hidden="1"/>
    </dxf>
    <dxf>
      <numFmt numFmtId="1" formatCode="0"/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2" formatCode="0.00"/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  <protection locked="1" hidden="1"/>
    </dxf>
    <dxf>
      <numFmt numFmtId="2" formatCode="0.00"/>
      <protection locked="0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 style="thin">
          <color theme="0"/>
        </bottom>
      </border>
      <protection locked="0" hidden="1"/>
    </dxf>
    <dxf>
      <numFmt numFmtId="19" formatCode="m/d/yyyy"/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  <protection locked="1" hidden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 style="thin">
          <color theme="0"/>
        </bottom>
      </border>
      <protection locked="0" hidden="1"/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  <horizontal style="thin">
          <color theme="1"/>
        </horizontal>
      </border>
      <protection locked="0" hidden="1"/>
    </dxf>
    <dxf>
      <border>
        <top style="thin">
          <color theme="0"/>
        </top>
        <vertical/>
        <horizontal/>
      </border>
    </dxf>
    <dxf>
      <alignment horizontal="center" vertical="center" textRotation="0" wrapText="0" relativeIndent="0" justifyLastLine="0" shrinkToFit="0" readingOrder="0"/>
      <border diagonalUp="0" diagonalDown="0">
        <left style="thin">
          <color theme="0"/>
        </left>
        <right style="thin">
          <color theme="0"/>
        </right>
        <top/>
        <bottom/>
      </border>
      <protection locked="0" hidden="1"/>
    </dxf>
    <dxf>
      <alignment horizontal="center" vertical="center" textRotation="0" wrapText="0" indent="0" justifyLastLine="0" shrinkToFit="0" readingOrder="0"/>
      <border diagonalUp="0" diagonalDown="0">
        <right style="thin">
          <color theme="0"/>
        </right>
        <top/>
        <bottom/>
      </border>
      <protection locked="0" hidden="1"/>
    </dxf>
    <dxf>
      <alignment horizontal="center" vertical="center" textRotation="0" wrapText="0" indent="0" justifyLastLine="0" shrinkToFit="0" readingOrder="0"/>
      <protection locked="0" hidden="1"/>
    </dxf>
    <dxf>
      <font>
        <color theme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scheme val="none"/>
      </font>
      <numFmt numFmtId="3" formatCode="#,##0"/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scheme val="none"/>
      </font>
      <numFmt numFmtId="3" formatCode="#,##0"/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scheme val="none"/>
      </font>
      <numFmt numFmtId="3" formatCode="#,##0"/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  <protection locked="1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scheme val="none"/>
      </font>
      <numFmt numFmtId="3" formatCode="#,##0"/>
      <alignment horizontal="center" vertical="center" textRotation="0" wrapText="0" indent="0" justifyLastLine="0" shrinkToFit="0" readingOrder="2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  <protection locked="1" hidden="1"/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numFmt numFmtId="3" formatCode="#,##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Times New Roman"/>
        <scheme val="none"/>
      </font>
      <fill>
        <patternFill patternType="solid">
          <fgColor indexed="64"/>
          <bgColor indexed="43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indexed="8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Times New Roman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scheme val="none"/>
      </font>
      <numFmt numFmtId="166" formatCode="0.00\ \X\ \10\³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indexed="8"/>
        <name val="Arial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indexed="8"/>
        <name val="Arial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indexed="8"/>
        <name val="Arial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indexed="8"/>
        <name val="Arial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indexed="8"/>
        <name val="Arial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indexed="8"/>
        <name val="Arial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indexed="8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indexed="8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indexed="8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indexed="8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indexed="8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indexed="8"/>
        <name val="Arial"/>
        <scheme val="none"/>
      </font>
      <numFmt numFmtId="1" formatCode="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indexed="8"/>
        <name val="Arial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indexed="8"/>
        <name val="Arial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indexed="8"/>
        <name val="Arial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indexed="8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indexed="8"/>
        <name val="Arial"/>
        <scheme val="none"/>
      </font>
      <numFmt numFmtId="2" formatCode="0.0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indexed="8"/>
        <name val="Arial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indexed="8"/>
        <name val="Arial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9" formatCode="m/d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theme="1"/>
        </left>
        <right/>
        <top style="thin">
          <color theme="1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scheme val="minor"/>
      </font>
      <numFmt numFmtId="168" formatCode="dd/mm/yyyy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1"/>
        </left>
        <right/>
        <top style="thin">
          <color theme="1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2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scheme val="none"/>
      </font>
      <fill>
        <patternFill patternType="solid">
          <fgColor theme="4" tint="0.59999389629810485"/>
          <bgColor theme="4" tint="0.59999389629810485"/>
        </patternFill>
      </fill>
      <alignment horizontal="center" vertical="bottom" textRotation="0" wrapText="0" indent="0" justifyLastLine="0" shrinkToFit="0" readingOrder="2"/>
      <border diagonalUp="0" diagonalDown="0" outline="0">
        <left/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indexed="8"/>
        <name val="Arial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1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auto="1"/>
        <name val="Arial"/>
        <scheme val="none"/>
      </font>
      <numFmt numFmtId="164" formatCode="0.0"/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1"/>
    </dxf>
    <dxf>
      <fill>
        <patternFill patternType="solid"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4" tint="0.59996337778862885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59996337778862885"/>
        </patternFill>
      </fill>
    </dxf>
    <dxf>
      <fill>
        <patternFill>
          <bgColor theme="2" tint="-0.24994659260841701"/>
        </patternFill>
      </fill>
    </dxf>
    <dxf>
      <fill>
        <patternFill>
          <bgColor theme="4" tint="0.59996337778862885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 patternType="solid">
          <bgColor theme="3" tint="0.79998168889431442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1" defaultTableStyle="TableStyleMedium9" defaultPivotStyle="PivotStyleLight16">
    <tableStyle name="Invisible" pivot="0" table="0" count="0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159333</xdr:colOff>
      <xdr:row>1</xdr:row>
      <xdr:rowOff>116896</xdr:rowOff>
    </xdr:from>
    <xdr:to>
      <xdr:col>10</xdr:col>
      <xdr:colOff>5</xdr:colOff>
      <xdr:row>8</xdr:row>
      <xdr:rowOff>18554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>
          <a:spLocks noChangeArrowheads="1"/>
        </xdr:cNvSpPr>
      </xdr:nvSpPr>
      <xdr:spPr bwMode="auto">
        <a:xfrm>
          <a:off x="11234461270" y="297871"/>
          <a:ext cx="10346747" cy="1168483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ar-EG" sz="1400" b="1" i="0" strike="noStrike">
              <a:solidFill>
                <a:srgbClr val="FF0000"/>
              </a:solidFill>
              <a:latin typeface="Arial (Arabic)"/>
            </a:rPr>
            <a:t>الشركة القابضة</a:t>
          </a:r>
          <a:endParaRPr lang="ar-EG" sz="1400" b="1" i="0" strike="noStrike">
            <a:solidFill>
              <a:srgbClr val="FF0000"/>
            </a:solidFill>
            <a:latin typeface="Times New Roman"/>
            <a:cs typeface="Times New Roman"/>
          </a:endParaRPr>
        </a:p>
        <a:p>
          <a:pPr algn="ctr" rtl="1">
            <a:defRPr sz="1000"/>
          </a:pPr>
          <a:r>
            <a:rPr lang="ar-EG" sz="1400" b="1" i="0" strike="noStrike">
              <a:solidFill>
                <a:srgbClr val="000000"/>
              </a:solidFill>
              <a:latin typeface="Arial (Arabic)"/>
            </a:rPr>
            <a:t>شركة  مياه الشرب والصرف الصحي بالفيوم</a:t>
          </a:r>
          <a:endParaRPr lang="ar-EG" sz="14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ar-EG" sz="1400" b="1" i="0" strike="noStrike">
              <a:solidFill>
                <a:srgbClr val="3366FF"/>
              </a:solidFill>
              <a:latin typeface="Arial (Arabic)"/>
            </a:rPr>
            <a:t>قطاع المعامل </a:t>
          </a:r>
          <a:r>
            <a:rPr lang="en-US" sz="1400" b="1" i="0" strike="noStrike">
              <a:solidFill>
                <a:srgbClr val="3366FF"/>
              </a:solidFill>
              <a:latin typeface="Arial (Arabic)"/>
            </a:rPr>
            <a:t>-</a:t>
          </a:r>
          <a:r>
            <a:rPr lang="ar-EG" sz="1400" b="1" i="0" strike="noStrike">
              <a:solidFill>
                <a:sysClr val="windowText" lastClr="000000"/>
              </a:solidFill>
              <a:latin typeface="Arial (Arabic)"/>
            </a:rPr>
            <a:t>الادارة العامة لمعامل الصرف الصحى</a:t>
          </a:r>
          <a:endParaRPr lang="en-US" sz="1400" b="1" i="0" strike="noStrike">
            <a:solidFill>
              <a:sysClr val="windowText" lastClr="000000"/>
            </a:solidFill>
            <a:latin typeface="Arial (Arabic)"/>
          </a:endParaRPr>
        </a:p>
        <a:p>
          <a:pPr algn="ctr" rtl="1">
            <a:defRPr sz="1000"/>
          </a:pPr>
          <a:r>
            <a:rPr lang="ar-EG" sz="1400" b="1" i="0" strike="noStrike">
              <a:solidFill>
                <a:sysClr val="windowText" lastClr="000000"/>
              </a:solidFill>
              <a:latin typeface="Arial (Arabic)"/>
            </a:rPr>
            <a:t>الادارة</a:t>
          </a:r>
          <a:r>
            <a:rPr lang="ar-EG" sz="1400" b="1" i="0" strike="noStrike" baseline="0">
              <a:solidFill>
                <a:sysClr val="windowText" lastClr="000000"/>
              </a:solidFill>
              <a:latin typeface="Arial (Arabic)"/>
            </a:rPr>
            <a:t> العامة لمعامل محطات الصرف الصحى</a:t>
          </a:r>
          <a:endParaRPr lang="ar-EG" sz="1400" b="1" i="0" strike="noStrike">
            <a:solidFill>
              <a:sysClr val="windowText" lastClr="000000"/>
            </a:solidFill>
            <a:latin typeface="Arial (Arabic)"/>
          </a:endParaRPr>
        </a:p>
        <a:p>
          <a:pPr algn="r" rtl="1">
            <a:defRPr sz="1000"/>
          </a:pPr>
          <a:endParaRPr lang="ar-EG" sz="1400" b="1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r" rtl="1">
            <a:defRPr sz="1000"/>
          </a:pPr>
          <a:endParaRPr lang="ar-EG" sz="1400" b="1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14</xdr:col>
      <xdr:colOff>207818</xdr:colOff>
      <xdr:row>2</xdr:row>
      <xdr:rowOff>6804</xdr:rowOff>
    </xdr:from>
    <xdr:to>
      <xdr:col>22</xdr:col>
      <xdr:colOff>357188</xdr:colOff>
      <xdr:row>7</xdr:row>
      <xdr:rowOff>63953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11221207237" y="368754"/>
          <a:ext cx="8445645" cy="962024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en-US" sz="1400" b="1" i="1" strike="noStrike">
              <a:solidFill>
                <a:srgbClr val="FF0000"/>
              </a:solidFill>
              <a:latin typeface="Calibri"/>
              <a:cs typeface="+mn-cs"/>
            </a:rPr>
            <a:t>Holding Company</a:t>
          </a:r>
        </a:p>
        <a:p>
          <a:pPr algn="ctr" rtl="1">
            <a:defRPr sz="1000"/>
          </a:pPr>
          <a:r>
            <a:rPr lang="en-US" sz="1400" b="1" i="1" strike="noStrike">
              <a:solidFill>
                <a:srgbClr val="000000"/>
              </a:solidFill>
              <a:latin typeface="Calibri"/>
              <a:cs typeface="+mn-cs"/>
            </a:rPr>
            <a:t>Fayoum Drinking Water and Sanitation Company</a:t>
          </a:r>
        </a:p>
        <a:p>
          <a:pPr algn="ctr" rtl="1">
            <a:defRPr sz="1000"/>
          </a:pPr>
          <a:r>
            <a:rPr lang="en-US" sz="1400" b="1" i="1" strike="noStrike">
              <a:solidFill>
                <a:srgbClr val="3366FF"/>
              </a:solidFill>
              <a:latin typeface="Calibri"/>
              <a:cs typeface="+mn-cs"/>
            </a:rPr>
            <a:t>Lab.sector</a:t>
          </a:r>
          <a:endParaRPr lang="en-US" sz="1400" b="1" i="1" strike="noStrike">
            <a:solidFill>
              <a:srgbClr val="000000"/>
            </a:solidFill>
            <a:latin typeface="Times New Roman"/>
            <a:cs typeface="+mn-cs"/>
          </a:endParaRPr>
        </a:p>
        <a:p>
          <a:pPr algn="ctr" rtl="1">
            <a:defRPr sz="1000"/>
          </a:pPr>
          <a:r>
            <a:rPr lang="en-US" sz="1400" b="1" i="1" strike="noStrike">
              <a:solidFill>
                <a:srgbClr val="000000"/>
              </a:solidFill>
              <a:latin typeface="Times New Roman"/>
              <a:cs typeface="+mn-cs"/>
            </a:rPr>
            <a:t>wastewater labs</a:t>
          </a:r>
        </a:p>
      </xdr:txBody>
    </xdr:sp>
    <xdr:clientData/>
  </xdr:twoCellAnchor>
  <xdr:twoCellAnchor>
    <xdr:from>
      <xdr:col>10</xdr:col>
      <xdr:colOff>693799</xdr:colOff>
      <xdr:row>1</xdr:row>
      <xdr:rowOff>135454</xdr:rowOff>
    </xdr:from>
    <xdr:to>
      <xdr:col>13</xdr:col>
      <xdr:colOff>368380</xdr:colOff>
      <xdr:row>7</xdr:row>
      <xdr:rowOff>14886</xdr:rowOff>
    </xdr:to>
    <xdr:pic>
      <xdr:nvPicPr>
        <xdr:cNvPr id="4" name="Picture 4" descr="Logo Fayoum copy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230597220" y="316429"/>
          <a:ext cx="3170256" cy="96528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66675</xdr:colOff>
      <xdr:row>0</xdr:row>
      <xdr:rowOff>57151</xdr:rowOff>
    </xdr:from>
    <xdr:to>
      <xdr:col>18</xdr:col>
      <xdr:colOff>352425</xdr:colOff>
      <xdr:row>3</xdr:row>
      <xdr:rowOff>104775</xdr:rowOff>
    </xdr:to>
    <xdr:pic>
      <xdr:nvPicPr>
        <xdr:cNvPr id="2" name="Picture 1" descr="Logo Fayoum copy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976361175" y="57151"/>
          <a:ext cx="895350" cy="53339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1051282</xdr:colOff>
      <xdr:row>0</xdr:row>
      <xdr:rowOff>3640</xdr:rowOff>
    </xdr:from>
    <xdr:to>
      <xdr:col>11</xdr:col>
      <xdr:colOff>609278</xdr:colOff>
      <xdr:row>3</xdr:row>
      <xdr:rowOff>51264</xdr:rowOff>
    </xdr:to>
    <xdr:pic>
      <xdr:nvPicPr>
        <xdr:cNvPr id="2" name="Picture 1" descr="Logo Fayoum copy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9812527323" y="3640"/>
          <a:ext cx="788755" cy="66835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66675</xdr:colOff>
      <xdr:row>1</xdr:row>
      <xdr:rowOff>47624</xdr:rowOff>
    </xdr:from>
    <xdr:to>
      <xdr:col>3</xdr:col>
      <xdr:colOff>371474</xdr:colOff>
      <xdr:row>9</xdr:row>
      <xdr:rowOff>38100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>
          <a:spLocks noChangeArrowheads="1"/>
        </xdr:cNvSpPr>
      </xdr:nvSpPr>
      <xdr:spPr bwMode="auto">
        <a:xfrm>
          <a:off x="9831257326" y="238124"/>
          <a:ext cx="2324099" cy="1514476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ar-EG" sz="1400" b="1" i="0" strike="noStrike">
              <a:solidFill>
                <a:srgbClr val="FF0000"/>
              </a:solidFill>
              <a:latin typeface="Arial (Arabic)"/>
            </a:rPr>
            <a:t>الشركة القابضة</a:t>
          </a:r>
          <a:endParaRPr lang="ar-EG" sz="1400" b="1" i="0" strike="noStrike">
            <a:solidFill>
              <a:srgbClr val="FF0000"/>
            </a:solidFill>
            <a:latin typeface="Times New Roman"/>
            <a:cs typeface="Times New Roman"/>
          </a:endParaRPr>
        </a:p>
        <a:p>
          <a:pPr algn="ctr" rtl="1">
            <a:defRPr sz="1000"/>
          </a:pPr>
          <a:r>
            <a:rPr lang="ar-EG" sz="1400" b="1" i="0" strike="noStrike">
              <a:solidFill>
                <a:srgbClr val="000000"/>
              </a:solidFill>
              <a:latin typeface="Arial (Arabic)"/>
            </a:rPr>
            <a:t>شركة  مياه الشرب والصرف الصحي بالفيوم</a:t>
          </a:r>
          <a:endParaRPr lang="ar-EG" sz="14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ctr" rtl="1">
            <a:defRPr sz="1000"/>
          </a:pPr>
          <a:r>
            <a:rPr lang="ar-EG" sz="1400" b="1" i="0" strike="noStrike">
              <a:solidFill>
                <a:srgbClr val="3366FF"/>
              </a:solidFill>
              <a:latin typeface="Arial (Arabic)"/>
            </a:rPr>
            <a:t>قطاع المعامل </a:t>
          </a:r>
        </a:p>
        <a:p>
          <a:pPr algn="ctr" rtl="1">
            <a:defRPr sz="1000"/>
          </a:pPr>
          <a:r>
            <a:rPr lang="ar-EG" sz="1400" b="1" i="0" strike="noStrike">
              <a:solidFill>
                <a:sysClr val="windowText" lastClr="000000"/>
              </a:solidFill>
              <a:latin typeface="Arial (Arabic)"/>
            </a:rPr>
            <a:t>الادارة العامة لمعامل الصرف الصحى</a:t>
          </a:r>
          <a:endParaRPr lang="en-US" sz="1400" b="1" i="0" strike="noStrike">
            <a:solidFill>
              <a:sysClr val="windowText" lastClr="000000"/>
            </a:solidFill>
            <a:latin typeface="Arial (Arabic)"/>
          </a:endParaRPr>
        </a:p>
        <a:p>
          <a:pPr algn="r" rtl="1">
            <a:defRPr sz="1000"/>
          </a:pPr>
          <a:endParaRPr lang="ar-EG" sz="1400" b="1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r" rtl="1">
            <a:defRPr sz="1000"/>
          </a:pPr>
          <a:endParaRPr lang="ar-EG" sz="1400" b="1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6</xdr:col>
      <xdr:colOff>238125</xdr:colOff>
      <xdr:row>1</xdr:row>
      <xdr:rowOff>47625</xdr:rowOff>
    </xdr:from>
    <xdr:to>
      <xdr:col>9</xdr:col>
      <xdr:colOff>1400176</xdr:colOff>
      <xdr:row>6</xdr:row>
      <xdr:rowOff>104774</xdr:rowOff>
    </xdr:to>
    <xdr:sp macro="" textlink="">
      <xdr:nvSpPr>
        <xdr:cNvPr id="3" name="Text Box 6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 txBox="1">
          <a:spLocks noChangeArrowheads="1"/>
        </xdr:cNvSpPr>
      </xdr:nvSpPr>
      <xdr:spPr bwMode="auto">
        <a:xfrm>
          <a:off x="11229365399" y="228600"/>
          <a:ext cx="3819526" cy="962024"/>
        </a:xfrm>
        <a:prstGeom prst="rect">
          <a:avLst/>
        </a:prstGeom>
        <a:solidFill>
          <a:srgbClr val="FFFFFF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ctr" upright="1"/>
        <a:lstStyle/>
        <a:p>
          <a:pPr algn="ctr" rtl="1">
            <a:defRPr sz="1000"/>
          </a:pPr>
          <a:r>
            <a:rPr lang="en-US" sz="1400" b="1" i="1" strike="noStrike">
              <a:solidFill>
                <a:srgbClr val="FF0000"/>
              </a:solidFill>
              <a:latin typeface="Calibri"/>
              <a:cs typeface="+mn-cs"/>
            </a:rPr>
            <a:t>Holding Company</a:t>
          </a:r>
        </a:p>
        <a:p>
          <a:pPr algn="ctr" rtl="1">
            <a:defRPr sz="1000"/>
          </a:pPr>
          <a:r>
            <a:rPr lang="en-US" sz="1400" b="1" i="1" strike="noStrike">
              <a:solidFill>
                <a:srgbClr val="000000"/>
              </a:solidFill>
              <a:latin typeface="Calibri"/>
              <a:cs typeface="+mn-cs"/>
            </a:rPr>
            <a:t>Fayoum Drinking Water and Sanitation Company</a:t>
          </a:r>
        </a:p>
        <a:p>
          <a:pPr algn="ctr" rtl="1">
            <a:defRPr sz="1000"/>
          </a:pPr>
          <a:r>
            <a:rPr lang="en-US" sz="1400" b="1" i="1" strike="noStrike">
              <a:solidFill>
                <a:srgbClr val="3366FF"/>
              </a:solidFill>
              <a:latin typeface="Calibri"/>
              <a:cs typeface="+mn-cs"/>
            </a:rPr>
            <a:t>Lab.sector</a:t>
          </a:r>
          <a:endParaRPr lang="en-US" sz="1400" b="1" i="1" strike="noStrike">
            <a:solidFill>
              <a:srgbClr val="000000"/>
            </a:solidFill>
            <a:latin typeface="Times New Roman"/>
            <a:cs typeface="+mn-cs"/>
          </a:endParaRPr>
        </a:p>
        <a:p>
          <a:pPr algn="ctr" rtl="1">
            <a:defRPr sz="1000"/>
          </a:pPr>
          <a:r>
            <a:rPr lang="en-US" sz="1400" b="1" i="1" strike="noStrike">
              <a:solidFill>
                <a:srgbClr val="000000"/>
              </a:solidFill>
              <a:latin typeface="Times New Roman"/>
              <a:cs typeface="+mn-cs"/>
            </a:rPr>
            <a:t>wastewater labs</a:t>
          </a:r>
        </a:p>
      </xdr:txBody>
    </xdr:sp>
    <xdr:clientData/>
  </xdr:twoCellAnchor>
  <xdr:twoCellAnchor>
    <xdr:from>
      <xdr:col>3</xdr:col>
      <xdr:colOff>356712</xdr:colOff>
      <xdr:row>1</xdr:row>
      <xdr:rowOff>47625</xdr:rowOff>
    </xdr:from>
    <xdr:to>
      <xdr:col>6</xdr:col>
      <xdr:colOff>371474</xdr:colOff>
      <xdr:row>6</xdr:row>
      <xdr:rowOff>103950</xdr:rowOff>
    </xdr:to>
    <xdr:pic>
      <xdr:nvPicPr>
        <xdr:cNvPr id="4" name="Picture 4" descr="Logo Fayoum copy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232984901" y="228600"/>
          <a:ext cx="2624612" cy="961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ables/table1.xml><?xml version="1.0" encoding="utf-8"?>
<table xmlns="http://schemas.openxmlformats.org/spreadsheetml/2006/main" id="4" name="Table4" displayName="Table4" ref="A14:W44" headerRowCount="0" totalsRowShown="0" headerRowDxfId="83" dataDxfId="82" dataCellStyle="Normal_Sheet2">
  <tableColumns count="23">
    <tableColumn id="1" name="Column1" headerRowDxfId="81" dataDxfId="80"/>
    <tableColumn id="2" name="Column2" headerRowDxfId="79" dataDxfId="78" headerRowCellStyle="20% - Accent1" dataCellStyle="20% - Accent1">
      <calculatedColumnFormula>IFERROR(TEXT(DATE($R$10,$Q$10,$A14),"dd/mm/yyyy"),"")</calculatedColumnFormula>
    </tableColumn>
    <tableColumn id="3" name="Column3" headerRowDxfId="77" dataDxfId="76" dataCellStyle="Normal_Sheet2"/>
    <tableColumn id="4" name="Column4" headerRowDxfId="75" dataDxfId="74" dataCellStyle="Normal_Sheet2"/>
    <tableColumn id="5" name="Column5" headerRowDxfId="73" dataDxfId="72" dataCellStyle="Normal_Sheet2"/>
    <tableColumn id="6" name="Column6" headerRowDxfId="71" dataDxfId="70" dataCellStyle="Normal_Sheet2"/>
    <tableColumn id="7" name="Column7" headerRowDxfId="69" dataDxfId="68" dataCellStyle="Normal_Sheet2"/>
    <tableColumn id="8" name="Column8" headerRowDxfId="67" dataDxfId="66" dataCellStyle="Normal_Sheet2"/>
    <tableColumn id="9" name="Column9" headerRowDxfId="65" dataDxfId="64" dataCellStyle="Normal_Sheet2"/>
    <tableColumn id="10" name="Column10" headerRowDxfId="63" dataDxfId="62" dataCellStyle="Normal_Sheet2"/>
    <tableColumn id="11" name="Column11" headerRowDxfId="61" dataDxfId="60" dataCellStyle="Normal_Sheet2"/>
    <tableColumn id="12" name="Column12" headerRowDxfId="59" dataDxfId="58" dataCellStyle="Normal_Sheet2"/>
    <tableColumn id="13" name="Column13" headerRowDxfId="57" dataDxfId="56" dataCellStyle="Normal_Sheet2"/>
    <tableColumn id="14" name="Column14" headerRowDxfId="55" dataDxfId="54" dataCellStyle="Normal_Sheet2"/>
    <tableColumn id="15" name="Column15" headerRowDxfId="53" dataDxfId="52" dataCellStyle="Normal_Sheet2"/>
    <tableColumn id="16" name="Column16" headerRowDxfId="51" dataDxfId="50" dataCellStyle="Normal_Sheet2"/>
    <tableColumn id="17" name="Column17" headerRowDxfId="49" dataDxfId="48" dataCellStyle="Normal_Sheet2"/>
    <tableColumn id="18" name="Column18" headerRowDxfId="47" dataDxfId="46" dataCellStyle="Normal_Sheet2"/>
    <tableColumn id="19" name="Column19" headerRowDxfId="45" dataDxfId="44" dataCellStyle="Normal_Sheet2"/>
    <tableColumn id="20" name="Column20" headerRowDxfId="43" dataDxfId="42" dataCellStyle="Normal_Sheet2"/>
    <tableColumn id="21" name="Column21" headerRowDxfId="41" dataDxfId="40" dataCellStyle="Normal_Sheet2"/>
    <tableColumn id="22" name="Column22" headerRowDxfId="39" dataDxfId="38" dataCellStyle="Normal_Sheet2"/>
    <tableColumn id="23" name="Column23" headerRowDxfId="37" dataDxfId="36" dataCellStyle="Normal_Sheet2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E26:H27" totalsRowShown="0" headerRowDxfId="35" dataDxfId="34" tableBorderDxfId="33" headerRowCellStyle="Normal 2">
  <autoFilter ref="E26:H27"/>
  <tableColumns count="4">
    <tableColumn id="1" name="الدخول " dataDxfId="32" dataCellStyle="Percent">
      <calculatedColumnFormula>IFERROR(Main!$N$47*(الاحصائية!$F$9*_xlfn.DAYS(IF(TODAY()&gt;DATE(K5,J5,DAY(TODAY())),EOMONTH(A9,0),TODAY()),EOMONTH(A9,-1)))/1000,"")</calculatedColumnFormula>
    </tableColumn>
    <tableColumn id="2" name="السيب النهائى" dataDxfId="31" dataCellStyle="Percent">
      <calculatedColumnFormula>IFERROR(Main!$O$47*(الاحصائية!$F$9*_xlfn.DAYS(IF(TODAY()&gt;DATE(K5,J5,DAY(TODAY())),EOMONTH(A9,0),TODAY()),EOMONTH(A9,-1)))/1000,"")</calculatedColumnFormula>
    </tableColumn>
    <tableColumn id="8" name="WASS" dataDxfId="30" dataCellStyle="Percent">
      <calculatedColumnFormula>IFERROR('تقرير المواد الصلبة'!$H$44*('تقرير المواد الصلبة'!$O$44)*_xlfn.DAYS(IF(TODAY()&gt;DATE(K5,J5,DAY(TODAY())),EOMONTH(A9,0),TODAY()),EOMONTH(A9,-1))/1000,"")</calculatedColumnFormula>
    </tableColumn>
    <tableColumn id="4" name="ThickSS" dataDxfId="29" dataCellStyle="Percent">
      <calculatedColumnFormula>IFERROR('تقرير المواد الصلبة'!$I$44*('تقرير المواد الصلبة'!$P$44)*_xlfn.DAYS(IF(TODAY()&gt;DATE(K5,J5,DAY(TODAY())),EOMONTH(A9,0), TODAY()),EOMONTH(A9,-1))/1000,"")</calculatedColumnFormula>
    </tableColumn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1" name="TSS" displayName="TSS" ref="A11:L42" totalsRowCount="1" headerRowDxfId="27" dataDxfId="26" totalsRowDxfId="25" totalsRowBorderDxfId="24">
  <autoFilter ref="A11:L41"/>
  <tableColumns count="12">
    <tableColumn id="1" name="م" dataDxfId="23" totalsRowDxfId="22"/>
    <tableColumn id="2" name="التاريخ" totalsRowLabel="MIN" dataDxfId="21" totalsRowDxfId="20">
      <calculatedColumnFormula>IFERROR(TEXT(DATE($J$10,$I$10,$A12),"dd/mm/yyyy"),"")</calculatedColumnFormula>
    </tableColumn>
    <tableColumn id="3" name="DO" totalsRowFunction="custom" dataDxfId="19" totalsRowDxfId="18">
      <totalsRowFormula>IFERROR(SUBTOTAL(105,TSS[DO]),"")</totalsRowFormula>
    </tableColumn>
    <tableColumn id="4" name="SV30" totalsRowFunction="custom" dataDxfId="17" totalsRowDxfId="16">
      <totalsRowFormula>IFERROR(SUBTOTAL(105,TSS[SV30]),"")</totalsRowFormula>
    </tableColumn>
    <tableColumn id="5" name="MLSS" totalsRowFunction="custom" dataDxfId="15" totalsRowDxfId="14">
      <totalsRowFormula>IFERROR(SUBTOTAL(105,TSS[MLSS]),"")</totalsRowFormula>
    </tableColumn>
    <tableColumn id="6" name="SVI" totalsRowFunction="custom" dataDxfId="13" totalsRowDxfId="12">
      <calculatedColumnFormula>IFERROR(IF((TSS[[#This Row],[MLSS]])&gt;0,TSS[[#This Row],[SV30]]*1000/TSS[[#This Row],[MLSS]],""),"")</calculatedColumnFormula>
      <totalsRowFormula>IFERROR(SUBTOTAL(105,TSS[SVI]),"")</totalsRowFormula>
    </tableColumn>
    <tableColumn id="7" name="VSS" totalsRowFunction="custom" dataDxfId="11" totalsRowDxfId="10">
      <totalsRowFormula>IFERROR(SUBTOTAL(105,TSS[VSS]),"")</totalsRowFormula>
    </tableColumn>
    <tableColumn id="8" name="RAS" totalsRowFunction="custom" dataDxfId="9" totalsRowDxfId="8">
      <totalsRowFormula>IFERROR(SUBTOTAL(105,TSS[RAS]),"")</totalsRowFormula>
    </tableColumn>
    <tableColumn id="9" name="Thickner" totalsRowFunction="custom" dataDxfId="7" totalsRowDxfId="6">
      <totalsRowFormula>IFERROR(SUBTOTAL(105,TSS[Thickner]),"")</totalsRowFormula>
    </tableColumn>
    <tableColumn id="10" name="Dry Sludge TS %" totalsRowFunction="custom" dataDxfId="5" totalsRowDxfId="4">
      <totalsRowFormula>IFERROR(SUBTOTAL(105,TSS[Dry Sludge TS %]),"")</totalsRowFormula>
    </tableColumn>
    <tableColumn id="11" name="column" dataDxfId="3" totalsRowDxfId="2"/>
    <tableColumn id="12" name="column1" dataDxfId="1" totalsRowDxfId="0"/>
  </tableColumns>
  <tableStyleInfo name="TableStyleMedium20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0:AF67"/>
  <sheetViews>
    <sheetView rightToLeft="1" tabSelected="1" topLeftCell="A39" zoomScale="50" zoomScaleNormal="50" zoomScaleSheetLayoutView="40" workbookViewId="0">
      <selection activeCell="B51" sqref="B51"/>
    </sheetView>
  </sheetViews>
  <sheetFormatPr defaultColWidth="9" defaultRowHeight="14.4"/>
  <cols>
    <col min="1" max="1" width="8.33203125" style="3" customWidth="1"/>
    <col min="2" max="2" width="21.88671875" style="3" customWidth="1"/>
    <col min="3" max="3" width="17.6640625" style="3" customWidth="1"/>
    <col min="4" max="4" width="19" style="3" customWidth="1"/>
    <col min="5" max="6" width="18.44140625" style="3" customWidth="1"/>
    <col min="7" max="9" width="17.6640625" style="3" customWidth="1"/>
    <col min="10" max="10" width="19.6640625" style="3" customWidth="1"/>
    <col min="11" max="11" width="19.44140625" style="3" customWidth="1"/>
    <col min="12" max="21" width="19.6640625" style="3" customWidth="1"/>
    <col min="22" max="22" width="21.33203125" style="3" bestFit="1" customWidth="1"/>
    <col min="23" max="23" width="19.109375" style="3" customWidth="1"/>
    <col min="24" max="27" width="11.6640625" style="3" customWidth="1"/>
    <col min="28" max="16384" width="9" style="3"/>
  </cols>
  <sheetData>
    <row r="10" spans="1:32" ht="30">
      <c r="A10" s="1"/>
      <c r="B10" s="1"/>
      <c r="C10" s="1"/>
      <c r="D10" s="1"/>
      <c r="E10" s="208" t="s">
        <v>37</v>
      </c>
      <c r="F10" s="208"/>
      <c r="G10" s="208"/>
      <c r="H10" s="208"/>
      <c r="I10" s="208"/>
      <c r="J10" s="208"/>
      <c r="K10" s="208"/>
      <c r="L10" s="208"/>
      <c r="M10" s="208"/>
      <c r="N10" s="208"/>
      <c r="O10" s="208"/>
      <c r="P10" s="208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 spans="1:32" ht="32.1" customHeight="1">
      <c r="A11" s="206" t="s">
        <v>3</v>
      </c>
      <c r="B11" s="206" t="s">
        <v>4</v>
      </c>
      <c r="C11" s="206" t="s">
        <v>34</v>
      </c>
      <c r="D11" s="206"/>
      <c r="E11" s="206" t="s">
        <v>25</v>
      </c>
      <c r="F11" s="206"/>
      <c r="G11" s="206" t="s">
        <v>16</v>
      </c>
      <c r="H11" s="206"/>
      <c r="I11" s="4" t="s">
        <v>5</v>
      </c>
      <c r="J11" s="206" t="s">
        <v>17</v>
      </c>
      <c r="K11" s="206"/>
      <c r="L11" s="209" t="s">
        <v>18</v>
      </c>
      <c r="M11" s="210"/>
      <c r="N11" s="206" t="s">
        <v>19</v>
      </c>
      <c r="O11" s="206"/>
      <c r="P11" s="206" t="s">
        <v>20</v>
      </c>
      <c r="Q11" s="206"/>
      <c r="R11" s="206" t="s">
        <v>21</v>
      </c>
      <c r="S11" s="206"/>
      <c r="T11" s="206" t="s">
        <v>26</v>
      </c>
      <c r="U11" s="206"/>
      <c r="V11" s="4" t="s">
        <v>39</v>
      </c>
      <c r="W11" s="4" t="s">
        <v>27</v>
      </c>
      <c r="X11" s="10"/>
      <c r="Y11" s="10"/>
      <c r="Z11" s="10"/>
      <c r="AA11" s="10"/>
      <c r="AB11" s="10"/>
      <c r="AD11" s="5"/>
      <c r="AE11" s="5"/>
      <c r="AF11" s="5"/>
    </row>
    <row r="12" spans="1:32" ht="32.1" customHeight="1">
      <c r="A12" s="206"/>
      <c r="B12" s="206"/>
      <c r="C12" s="4" t="s">
        <v>15</v>
      </c>
      <c r="D12" s="4" t="s">
        <v>28</v>
      </c>
      <c r="E12" s="4" t="s">
        <v>15</v>
      </c>
      <c r="F12" s="4" t="s">
        <v>28</v>
      </c>
      <c r="G12" s="4" t="s">
        <v>15</v>
      </c>
      <c r="H12" s="4" t="s">
        <v>28</v>
      </c>
      <c r="I12" s="4" t="s">
        <v>28</v>
      </c>
      <c r="J12" s="4" t="s">
        <v>15</v>
      </c>
      <c r="K12" s="4" t="s">
        <v>28</v>
      </c>
      <c r="L12" s="4" t="s">
        <v>15</v>
      </c>
      <c r="M12" s="4" t="s">
        <v>28</v>
      </c>
      <c r="N12" s="4" t="s">
        <v>15</v>
      </c>
      <c r="O12" s="4" t="s">
        <v>28</v>
      </c>
      <c r="P12" s="4" t="s">
        <v>15</v>
      </c>
      <c r="Q12" s="4" t="s">
        <v>28</v>
      </c>
      <c r="R12" s="4" t="s">
        <v>15</v>
      </c>
      <c r="S12" s="4" t="s">
        <v>28</v>
      </c>
      <c r="T12" s="4" t="s">
        <v>15</v>
      </c>
      <c r="U12" s="4" t="s">
        <v>28</v>
      </c>
      <c r="V12" s="4" t="s">
        <v>40</v>
      </c>
      <c r="W12" s="4" t="s">
        <v>28</v>
      </c>
      <c r="X12" s="112"/>
      <c r="Y12" s="112"/>
      <c r="Z12" s="112"/>
      <c r="AA12" s="112"/>
      <c r="AB12" s="112"/>
      <c r="AC12" s="112"/>
      <c r="AD12" s="5"/>
      <c r="AE12" s="5"/>
      <c r="AF12" s="5"/>
    </row>
    <row r="13" spans="1:32" ht="30" customHeight="1">
      <c r="A13" s="108"/>
      <c r="B13" s="108" t="s">
        <v>22</v>
      </c>
      <c r="C13" s="109">
        <v>43</v>
      </c>
      <c r="D13" s="109" t="s">
        <v>29</v>
      </c>
      <c r="E13" s="109" t="s">
        <v>79</v>
      </c>
      <c r="F13" s="109" t="s">
        <v>23</v>
      </c>
      <c r="G13" s="109" t="s">
        <v>32</v>
      </c>
      <c r="H13" s="109" t="s">
        <v>99</v>
      </c>
      <c r="I13" s="109" t="s">
        <v>100</v>
      </c>
      <c r="J13" s="109" t="s">
        <v>101</v>
      </c>
      <c r="K13" s="109" t="s">
        <v>101</v>
      </c>
      <c r="L13" s="110"/>
      <c r="M13" s="110"/>
      <c r="N13" s="109" t="s">
        <v>83</v>
      </c>
      <c r="O13" s="109" t="s">
        <v>43</v>
      </c>
      <c r="P13" s="109" t="s">
        <v>82</v>
      </c>
      <c r="Q13" s="109" t="s">
        <v>42</v>
      </c>
      <c r="R13" s="109" t="s">
        <v>81</v>
      </c>
      <c r="S13" s="109" t="s">
        <v>41</v>
      </c>
      <c r="T13" s="111" t="s">
        <v>80</v>
      </c>
      <c r="U13" s="111" t="s">
        <v>32</v>
      </c>
      <c r="V13" s="204">
        <v>5</v>
      </c>
      <c r="W13" s="114" t="s">
        <v>92</v>
      </c>
      <c r="X13" s="113"/>
      <c r="Y13" s="113"/>
      <c r="Z13" s="113"/>
      <c r="AA13" s="113"/>
      <c r="AB13" s="112"/>
      <c r="AC13" s="112"/>
      <c r="AD13" s="103"/>
      <c r="AE13" s="103"/>
      <c r="AF13" s="5"/>
    </row>
    <row r="14" spans="1:32" ht="32.1" customHeight="1">
      <c r="A14" s="105">
        <v>1</v>
      </c>
      <c r="B14" s="104" t="str">
        <f t="shared" ref="B14:B44" si="0">IFERROR(TEXT(DATE($R$10,$Q$10,$A14),"dd/mm/yyyy"),"")</f>
        <v/>
      </c>
      <c r="C14" s="181"/>
      <c r="D14" s="181"/>
      <c r="E14" s="182"/>
      <c r="F14" s="182"/>
      <c r="G14" s="181"/>
      <c r="H14" s="181"/>
      <c r="I14" s="181"/>
      <c r="J14" s="183"/>
      <c r="K14" s="183"/>
      <c r="L14" s="183"/>
      <c r="M14" s="183"/>
      <c r="N14" s="183"/>
      <c r="O14" s="183"/>
      <c r="P14" s="181"/>
      <c r="Q14" s="181"/>
      <c r="R14" s="181"/>
      <c r="S14" s="181"/>
      <c r="T14" s="181"/>
      <c r="U14" s="181"/>
      <c r="V14" s="201"/>
      <c r="W14" s="182"/>
      <c r="X14" s="184"/>
      <c r="Y14" s="185"/>
      <c r="Z14" s="185"/>
      <c r="AA14" s="186"/>
      <c r="AB14" s="112"/>
      <c r="AC14" s="112"/>
      <c r="AD14" s="103"/>
      <c r="AE14" s="103"/>
      <c r="AF14" s="5"/>
    </row>
    <row r="15" spans="1:32" ht="32.1" customHeight="1">
      <c r="A15" s="179">
        <v>2</v>
      </c>
      <c r="B15" s="180" t="str">
        <f t="shared" si="0"/>
        <v/>
      </c>
      <c r="C15" s="181"/>
      <c r="D15" s="181"/>
      <c r="E15" s="182"/>
      <c r="F15" s="182"/>
      <c r="G15" s="181"/>
      <c r="H15" s="181"/>
      <c r="I15" s="181"/>
      <c r="J15" s="183"/>
      <c r="K15" s="183"/>
      <c r="L15" s="183"/>
      <c r="M15" s="183"/>
      <c r="N15" s="183"/>
      <c r="O15" s="183"/>
      <c r="P15" s="181"/>
      <c r="Q15" s="181"/>
      <c r="R15" s="181"/>
      <c r="S15" s="181"/>
      <c r="T15" s="181"/>
      <c r="U15" s="181"/>
      <c r="V15" s="201"/>
      <c r="W15" s="182"/>
      <c r="X15" s="188"/>
      <c r="Y15" s="116"/>
      <c r="Z15" s="116"/>
      <c r="AA15" s="189"/>
      <c r="AB15" s="112"/>
      <c r="AC15" s="112"/>
      <c r="AD15" s="103"/>
      <c r="AE15" s="103"/>
      <c r="AF15" s="5"/>
    </row>
    <row r="16" spans="1:32" ht="32.1" customHeight="1">
      <c r="A16" s="187">
        <v>3</v>
      </c>
      <c r="B16" s="104" t="str">
        <f t="shared" si="0"/>
        <v/>
      </c>
      <c r="C16" s="181"/>
      <c r="D16" s="181"/>
      <c r="E16" s="182"/>
      <c r="F16" s="182"/>
      <c r="G16" s="181"/>
      <c r="H16" s="181"/>
      <c r="I16" s="181"/>
      <c r="J16" s="183"/>
      <c r="K16" s="183"/>
      <c r="L16" s="183"/>
      <c r="M16" s="183"/>
      <c r="N16" s="183"/>
      <c r="O16" s="183"/>
      <c r="P16" s="181"/>
      <c r="Q16" s="181"/>
      <c r="R16" s="181"/>
      <c r="S16" s="181"/>
      <c r="T16" s="181"/>
      <c r="U16" s="181"/>
      <c r="V16" s="201"/>
      <c r="W16" s="182"/>
      <c r="X16" s="188"/>
      <c r="Y16" s="178"/>
      <c r="Z16" s="178"/>
      <c r="AA16" s="190"/>
      <c r="AB16" s="112"/>
      <c r="AC16" s="112"/>
      <c r="AD16" s="103"/>
      <c r="AE16" s="103"/>
      <c r="AF16" s="5"/>
    </row>
    <row r="17" spans="1:32" ht="31.5" customHeight="1">
      <c r="A17" s="179">
        <v>4</v>
      </c>
      <c r="B17" s="104" t="str">
        <f t="shared" si="0"/>
        <v/>
      </c>
      <c r="C17" s="181"/>
      <c r="D17" s="181"/>
      <c r="E17" s="182"/>
      <c r="F17" s="182"/>
      <c r="G17" s="181"/>
      <c r="H17" s="181"/>
      <c r="I17" s="181"/>
      <c r="J17" s="183"/>
      <c r="K17" s="183"/>
      <c r="L17" s="183"/>
      <c r="M17" s="183"/>
      <c r="N17" s="183"/>
      <c r="O17" s="183"/>
      <c r="P17" s="181"/>
      <c r="Q17" s="181"/>
      <c r="R17" s="181"/>
      <c r="S17" s="181"/>
      <c r="T17" s="181"/>
      <c r="U17" s="181"/>
      <c r="V17" s="201"/>
      <c r="W17" s="182"/>
      <c r="X17" s="188"/>
      <c r="Y17" s="178"/>
      <c r="Z17" s="178"/>
      <c r="AA17" s="190"/>
      <c r="AB17" s="112"/>
      <c r="AC17" s="112"/>
      <c r="AD17" s="103"/>
      <c r="AE17" s="103"/>
      <c r="AF17" s="5"/>
    </row>
    <row r="18" spans="1:32" ht="31.5" customHeight="1">
      <c r="A18" s="187">
        <v>5</v>
      </c>
      <c r="B18" s="104" t="str">
        <f t="shared" si="0"/>
        <v/>
      </c>
      <c r="C18" s="181"/>
      <c r="D18" s="181"/>
      <c r="E18" s="182"/>
      <c r="F18" s="182"/>
      <c r="G18" s="181"/>
      <c r="H18" s="181"/>
      <c r="I18" s="181"/>
      <c r="J18" s="183"/>
      <c r="K18" s="183"/>
      <c r="L18" s="183"/>
      <c r="M18" s="183"/>
      <c r="N18" s="183"/>
      <c r="O18" s="183"/>
      <c r="P18" s="181"/>
      <c r="Q18" s="181"/>
      <c r="R18" s="181"/>
      <c r="S18" s="181"/>
      <c r="T18" s="181"/>
      <c r="U18" s="181"/>
      <c r="V18" s="201"/>
      <c r="W18" s="182"/>
      <c r="X18" s="188"/>
      <c r="Y18" s="178"/>
      <c r="Z18" s="178"/>
      <c r="AA18" s="190"/>
      <c r="AB18" s="112"/>
      <c r="AC18" s="112"/>
      <c r="AD18" s="103"/>
      <c r="AE18" s="103"/>
      <c r="AF18" s="5"/>
    </row>
    <row r="19" spans="1:32" ht="32.1" customHeight="1">
      <c r="A19" s="179">
        <v>6</v>
      </c>
      <c r="B19" s="104" t="str">
        <f t="shared" si="0"/>
        <v/>
      </c>
      <c r="C19" s="181"/>
      <c r="D19" s="181"/>
      <c r="E19" s="182"/>
      <c r="F19" s="182"/>
      <c r="G19" s="181"/>
      <c r="H19" s="181"/>
      <c r="I19" s="181"/>
      <c r="J19" s="183"/>
      <c r="K19" s="183"/>
      <c r="L19" s="183"/>
      <c r="M19" s="183"/>
      <c r="N19" s="183"/>
      <c r="O19" s="183"/>
      <c r="P19" s="181"/>
      <c r="Q19" s="181"/>
      <c r="R19" s="181"/>
      <c r="S19" s="181"/>
      <c r="T19" s="181"/>
      <c r="U19" s="181"/>
      <c r="V19" s="201"/>
      <c r="W19" s="182"/>
      <c r="X19" s="188"/>
      <c r="Y19" s="178"/>
      <c r="Z19" s="178"/>
      <c r="AA19" s="190"/>
      <c r="AB19" s="112"/>
      <c r="AC19" s="112"/>
      <c r="AD19" s="103"/>
      <c r="AE19" s="103"/>
      <c r="AF19" s="5"/>
    </row>
    <row r="20" spans="1:32" ht="32.1" customHeight="1">
      <c r="A20" s="187">
        <v>7</v>
      </c>
      <c r="B20" s="104" t="str">
        <f t="shared" si="0"/>
        <v/>
      </c>
      <c r="C20" s="181"/>
      <c r="D20" s="181"/>
      <c r="E20" s="182"/>
      <c r="F20" s="182"/>
      <c r="G20" s="181"/>
      <c r="H20" s="181"/>
      <c r="I20" s="181"/>
      <c r="J20" s="183"/>
      <c r="K20" s="183"/>
      <c r="L20" s="183"/>
      <c r="M20" s="183"/>
      <c r="N20" s="183"/>
      <c r="O20" s="183"/>
      <c r="P20" s="181"/>
      <c r="Q20" s="181"/>
      <c r="R20" s="181"/>
      <c r="S20" s="181"/>
      <c r="T20" s="181"/>
      <c r="U20" s="181"/>
      <c r="V20" s="201"/>
      <c r="W20" s="182"/>
      <c r="X20" s="191"/>
      <c r="Y20" s="192" t="str">
        <f>IF(OR(OR(I22="",I22="ND"),U22="NA",OR(S22="NA",S22="ND")),"",IF(OR(F22&lt;6.5,F22&gt;9,D22&lt;15,D22&gt;35,H22&gt;1,I22&lt;4,K22&gt;2000,O22&gt;50,Q22&gt;80,S22&gt;60,U22&gt;10),1,""))</f>
        <v/>
      </c>
      <c r="Z20" s="192" t="str">
        <f>IF(I22="","",IF(V22&gt;5000,1,""))</f>
        <v/>
      </c>
      <c r="AA20" s="193" t="str">
        <f>IF(OR(OR(G22="",G22="ND"),OR(R22="NA",R22="ND")),"",IF(OR(E22&lt;6.5,E22&gt;9.5,C22&gt;43,G22&gt;10,J22&gt;2000,N22&gt;800,P22&gt;1100,R22&gt;600,T22&gt;100),1,""))</f>
        <v/>
      </c>
      <c r="AB20" s="112"/>
      <c r="AC20" s="112"/>
      <c r="AD20" s="103"/>
      <c r="AE20" s="103"/>
      <c r="AF20" s="5"/>
    </row>
    <row r="21" spans="1:32" ht="32.1" customHeight="1">
      <c r="A21" s="179">
        <v>8</v>
      </c>
      <c r="B21" s="104" t="str">
        <f t="shared" si="0"/>
        <v/>
      </c>
      <c r="C21" s="181"/>
      <c r="D21" s="181"/>
      <c r="E21" s="182"/>
      <c r="F21" s="182"/>
      <c r="G21" s="181"/>
      <c r="H21" s="181"/>
      <c r="I21" s="181"/>
      <c r="J21" s="183"/>
      <c r="K21" s="183"/>
      <c r="L21" s="183"/>
      <c r="M21" s="183"/>
      <c r="N21" s="183"/>
      <c r="O21" s="183"/>
      <c r="P21" s="181"/>
      <c r="Q21" s="181"/>
      <c r="R21" s="181"/>
      <c r="S21" s="181"/>
      <c r="T21" s="181"/>
      <c r="U21" s="181"/>
      <c r="V21" s="201"/>
      <c r="W21" s="182"/>
      <c r="X21" s="188"/>
      <c r="Y21" s="178"/>
      <c r="Z21" s="178"/>
      <c r="AA21" s="190"/>
      <c r="AB21" s="112"/>
      <c r="AC21" s="112"/>
      <c r="AD21" s="103"/>
      <c r="AE21" s="103"/>
      <c r="AF21" s="5"/>
    </row>
    <row r="22" spans="1:32" ht="32.1" customHeight="1">
      <c r="A22" s="187">
        <v>9</v>
      </c>
      <c r="B22" s="104" t="str">
        <f t="shared" si="0"/>
        <v/>
      </c>
      <c r="C22" s="181"/>
      <c r="D22" s="181"/>
      <c r="E22" s="182"/>
      <c r="F22" s="182"/>
      <c r="G22" s="181"/>
      <c r="H22" s="181"/>
      <c r="I22" s="181"/>
      <c r="J22" s="183"/>
      <c r="K22" s="183"/>
      <c r="L22" s="183"/>
      <c r="M22" s="183"/>
      <c r="N22" s="183"/>
      <c r="O22" s="183"/>
      <c r="P22" s="181"/>
      <c r="Q22" s="181"/>
      <c r="R22" s="181"/>
      <c r="S22" s="181"/>
      <c r="T22" s="181"/>
      <c r="U22" s="181"/>
      <c r="V22" s="201"/>
      <c r="W22" s="182"/>
      <c r="X22" s="188"/>
      <c r="Y22" s="178"/>
      <c r="Z22" s="178"/>
      <c r="AA22" s="190"/>
      <c r="AB22" s="112"/>
      <c r="AC22" s="112"/>
      <c r="AD22" s="103"/>
      <c r="AE22" s="103"/>
      <c r="AF22" s="5"/>
    </row>
    <row r="23" spans="1:32" ht="32.1" customHeight="1">
      <c r="A23" s="179">
        <v>10</v>
      </c>
      <c r="B23" s="104" t="str">
        <f t="shared" si="0"/>
        <v/>
      </c>
      <c r="C23" s="181"/>
      <c r="D23" s="181"/>
      <c r="E23" s="182"/>
      <c r="F23" s="182"/>
      <c r="G23" s="181"/>
      <c r="H23" s="181"/>
      <c r="I23" s="181"/>
      <c r="J23" s="183"/>
      <c r="K23" s="183"/>
      <c r="L23" s="183"/>
      <c r="M23" s="183"/>
      <c r="N23" s="183"/>
      <c r="O23" s="183"/>
      <c r="P23" s="181"/>
      <c r="Q23" s="181"/>
      <c r="R23" s="181"/>
      <c r="S23" s="181"/>
      <c r="T23" s="181"/>
      <c r="U23" s="181"/>
      <c r="V23" s="201"/>
      <c r="W23" s="182"/>
      <c r="X23" s="188"/>
      <c r="Y23" s="178"/>
      <c r="Z23" s="178"/>
      <c r="AA23" s="190"/>
      <c r="AB23" s="112"/>
      <c r="AC23" s="112"/>
      <c r="AD23" s="103"/>
      <c r="AE23" s="103"/>
      <c r="AF23" s="5"/>
    </row>
    <row r="24" spans="1:32" ht="32.1" customHeight="1">
      <c r="A24" s="187">
        <v>11</v>
      </c>
      <c r="B24" s="104" t="str">
        <f t="shared" si="0"/>
        <v/>
      </c>
      <c r="C24" s="181"/>
      <c r="D24" s="181"/>
      <c r="E24" s="182"/>
      <c r="F24" s="182"/>
      <c r="G24" s="181"/>
      <c r="H24" s="181"/>
      <c r="I24" s="181"/>
      <c r="J24" s="183"/>
      <c r="K24" s="183"/>
      <c r="L24" s="183"/>
      <c r="M24" s="183"/>
      <c r="N24" s="183"/>
      <c r="O24" s="183"/>
      <c r="P24" s="181"/>
      <c r="Q24" s="181"/>
      <c r="R24" s="181"/>
      <c r="S24" s="181"/>
      <c r="T24" s="181"/>
      <c r="U24" s="181"/>
      <c r="V24" s="201"/>
      <c r="W24" s="182"/>
      <c r="X24" s="188"/>
      <c r="Y24" s="178"/>
      <c r="Z24" s="178"/>
      <c r="AA24" s="190"/>
      <c r="AB24" s="112"/>
      <c r="AC24" s="112"/>
      <c r="AD24" s="103"/>
      <c r="AE24" s="103"/>
      <c r="AF24" s="5"/>
    </row>
    <row r="25" spans="1:32" ht="32.1" customHeight="1">
      <c r="A25" s="179">
        <v>12</v>
      </c>
      <c r="B25" s="104" t="str">
        <f t="shared" si="0"/>
        <v/>
      </c>
      <c r="C25" s="181"/>
      <c r="D25" s="181"/>
      <c r="E25" s="182"/>
      <c r="F25" s="182"/>
      <c r="G25" s="181"/>
      <c r="H25" s="181"/>
      <c r="I25" s="181"/>
      <c r="J25" s="183"/>
      <c r="K25" s="183"/>
      <c r="L25" s="183"/>
      <c r="M25" s="183"/>
      <c r="N25" s="183"/>
      <c r="O25" s="183"/>
      <c r="P25" s="181"/>
      <c r="Q25" s="181"/>
      <c r="R25" s="181"/>
      <c r="S25" s="181"/>
      <c r="T25" s="181"/>
      <c r="U25" s="181"/>
      <c r="V25" s="201"/>
      <c r="W25" s="182"/>
      <c r="X25" s="188"/>
      <c r="Y25" s="178"/>
      <c r="Z25" s="178"/>
      <c r="AA25" s="190"/>
      <c r="AB25" s="112"/>
      <c r="AC25" s="112"/>
      <c r="AD25" s="103"/>
      <c r="AE25" s="103"/>
      <c r="AF25" s="5"/>
    </row>
    <row r="26" spans="1:32" ht="32.1" customHeight="1">
      <c r="A26" s="187">
        <v>13</v>
      </c>
      <c r="B26" s="104" t="str">
        <f t="shared" si="0"/>
        <v/>
      </c>
      <c r="C26" s="181"/>
      <c r="D26" s="181"/>
      <c r="E26" s="182"/>
      <c r="F26" s="182"/>
      <c r="G26" s="181"/>
      <c r="H26" s="181"/>
      <c r="I26" s="181"/>
      <c r="J26" s="183"/>
      <c r="K26" s="183"/>
      <c r="L26" s="183"/>
      <c r="M26" s="183"/>
      <c r="N26" s="183"/>
      <c r="O26" s="183"/>
      <c r="P26" s="181"/>
      <c r="Q26" s="181"/>
      <c r="R26" s="181"/>
      <c r="S26" s="181"/>
      <c r="T26" s="181"/>
      <c r="U26" s="181"/>
      <c r="V26" s="201"/>
      <c r="W26" s="182"/>
      <c r="X26" s="191"/>
      <c r="Y26" s="192" t="str">
        <f>IF(OR(OR(I29="",I29="ND"),U29="NA",OR(S29="NA",S29="ND")),"",IF(OR(F29&lt;6.5,F29&gt;9,D29&lt;15,D29&gt;35,H29&gt;1,I29&lt;4,K29&gt;2000,O29&gt;50,Q29&gt;80,S29&gt;60,U29&gt;10),1,""))</f>
        <v/>
      </c>
      <c r="Z26" s="192" t="str">
        <f>IF(I29="","",IF(V29&gt;5000,1,""))</f>
        <v/>
      </c>
      <c r="AA26" s="193" t="str">
        <f>IF(OR(OR(G29="",G29="ND"),OR(R29="NA",R29="ND")),"",IF(OR(E29&lt;6.5,E29&gt;9.5,C29&gt;43,G29&gt;10,J29&gt;2000,N29&gt;800,P29&gt;1100,R29&gt;600,T29&gt;100),1,""))</f>
        <v/>
      </c>
      <c r="AB26" s="112"/>
      <c r="AC26" s="112"/>
      <c r="AD26" s="103"/>
      <c r="AE26" s="103"/>
      <c r="AF26" s="5"/>
    </row>
    <row r="27" spans="1:32" ht="32.1" customHeight="1">
      <c r="A27" s="179">
        <v>14</v>
      </c>
      <c r="B27" s="104" t="str">
        <f t="shared" si="0"/>
        <v/>
      </c>
      <c r="C27" s="181"/>
      <c r="D27" s="181"/>
      <c r="E27" s="182"/>
      <c r="F27" s="182"/>
      <c r="G27" s="181"/>
      <c r="H27" s="181"/>
      <c r="I27" s="181"/>
      <c r="J27" s="183"/>
      <c r="K27" s="183"/>
      <c r="L27" s="183"/>
      <c r="M27" s="183"/>
      <c r="N27" s="183"/>
      <c r="O27" s="183"/>
      <c r="P27" s="181"/>
      <c r="Q27" s="181"/>
      <c r="R27" s="181"/>
      <c r="S27" s="181"/>
      <c r="T27" s="181"/>
      <c r="U27" s="181"/>
      <c r="V27" s="201"/>
      <c r="W27" s="182"/>
      <c r="X27" s="191"/>
      <c r="Y27" s="192" t="str">
        <f>IF(OR(OR(I29="",I29="ND"),U29="NA",OR(S29="NA",S29="ND")),"",IF(OR(F29&lt;6.5,F29&gt;9,D29&lt;15,D29&gt;35,H29&gt;1,I29&lt;4,K29&gt;2000,O29&gt;50,Q29&gt;80,S29&gt;60,U29&gt;10),1,""))</f>
        <v/>
      </c>
      <c r="Z27" s="192" t="str">
        <f>IF(I29="","",IF(V29&gt;5000,1,""))</f>
        <v/>
      </c>
      <c r="AA27" s="193" t="str">
        <f>IF(OR(OR(G29="",G29="ND"),OR(R29="NA",R29="ND")),"",IF(OR(E29&lt;6.5,E29&gt;9.5,C29&gt;43,G29&gt;10,J29&gt;2000,N29&gt;800,P29&gt;1100,R29&gt;600,T29&gt;100),1,""))</f>
        <v/>
      </c>
      <c r="AB27" s="112"/>
      <c r="AC27" s="112"/>
      <c r="AD27" s="103"/>
      <c r="AE27" s="103"/>
      <c r="AF27" s="5"/>
    </row>
    <row r="28" spans="1:32" ht="32.1" customHeight="1">
      <c r="A28" s="187">
        <v>15</v>
      </c>
      <c r="B28" s="104" t="str">
        <f t="shared" si="0"/>
        <v/>
      </c>
      <c r="C28" s="181"/>
      <c r="D28" s="181"/>
      <c r="E28" s="182"/>
      <c r="F28" s="182"/>
      <c r="G28" s="181"/>
      <c r="H28" s="181"/>
      <c r="I28" s="181"/>
      <c r="J28" s="183"/>
      <c r="K28" s="183"/>
      <c r="L28" s="183"/>
      <c r="M28" s="183"/>
      <c r="N28" s="183"/>
      <c r="O28" s="183"/>
      <c r="P28" s="181"/>
      <c r="Q28" s="181"/>
      <c r="R28" s="181"/>
      <c r="S28" s="181"/>
      <c r="T28" s="181"/>
      <c r="U28" s="181"/>
      <c r="V28" s="201"/>
      <c r="W28" s="182"/>
      <c r="X28" s="194"/>
      <c r="Y28" s="178"/>
      <c r="Z28" s="178"/>
      <c r="AA28" s="190"/>
      <c r="AB28" s="112"/>
      <c r="AC28" s="112"/>
      <c r="AD28" s="103"/>
      <c r="AE28" s="103"/>
      <c r="AF28" s="5"/>
    </row>
    <row r="29" spans="1:32" ht="32.1" customHeight="1">
      <c r="A29" s="179">
        <v>16</v>
      </c>
      <c r="B29" s="104" t="str">
        <f t="shared" si="0"/>
        <v/>
      </c>
      <c r="C29" s="181"/>
      <c r="D29" s="181"/>
      <c r="E29" s="182"/>
      <c r="F29" s="182"/>
      <c r="G29" s="181"/>
      <c r="H29" s="181"/>
      <c r="I29" s="181"/>
      <c r="J29" s="183"/>
      <c r="K29" s="183"/>
      <c r="L29" s="183"/>
      <c r="M29" s="183"/>
      <c r="N29" s="183"/>
      <c r="O29" s="183"/>
      <c r="P29" s="181"/>
      <c r="Q29" s="181"/>
      <c r="R29" s="181"/>
      <c r="S29" s="181"/>
      <c r="T29" s="181"/>
      <c r="U29" s="181"/>
      <c r="V29" s="201"/>
      <c r="W29" s="182"/>
      <c r="X29" s="194"/>
      <c r="Y29" s="178"/>
      <c r="Z29" s="178"/>
      <c r="AA29" s="190"/>
      <c r="AB29" s="112"/>
      <c r="AC29" s="112"/>
      <c r="AD29" s="103"/>
      <c r="AE29" s="103"/>
      <c r="AF29" s="5"/>
    </row>
    <row r="30" spans="1:32" ht="32.1" customHeight="1">
      <c r="A30" s="187">
        <v>17</v>
      </c>
      <c r="B30" s="104" t="str">
        <f t="shared" si="0"/>
        <v/>
      </c>
      <c r="C30" s="181"/>
      <c r="D30" s="181"/>
      <c r="E30" s="182"/>
      <c r="F30" s="182"/>
      <c r="G30" s="181"/>
      <c r="H30" s="181"/>
      <c r="I30" s="181"/>
      <c r="J30" s="183"/>
      <c r="K30" s="183"/>
      <c r="L30" s="183"/>
      <c r="M30" s="183"/>
      <c r="N30" s="183"/>
      <c r="O30" s="183"/>
      <c r="P30" s="181"/>
      <c r="Q30" s="181"/>
      <c r="R30" s="181"/>
      <c r="S30" s="181"/>
      <c r="T30" s="181"/>
      <c r="U30" s="181"/>
      <c r="V30" s="201"/>
      <c r="W30" s="182"/>
      <c r="X30" s="194"/>
      <c r="Y30" s="178"/>
      <c r="Z30" s="178"/>
      <c r="AA30" s="190"/>
      <c r="AB30" s="112"/>
      <c r="AC30" s="112"/>
      <c r="AD30" s="103"/>
      <c r="AE30" s="103"/>
      <c r="AF30" s="5"/>
    </row>
    <row r="31" spans="1:32" ht="32.1" customHeight="1">
      <c r="A31" s="179">
        <v>18</v>
      </c>
      <c r="B31" s="104" t="str">
        <f t="shared" si="0"/>
        <v/>
      </c>
      <c r="C31" s="181"/>
      <c r="D31" s="181"/>
      <c r="E31" s="182"/>
      <c r="F31" s="182"/>
      <c r="G31" s="181"/>
      <c r="H31" s="181"/>
      <c r="I31" s="181"/>
      <c r="J31" s="183"/>
      <c r="K31" s="183"/>
      <c r="L31" s="183"/>
      <c r="M31" s="183"/>
      <c r="N31" s="183"/>
      <c r="O31" s="183"/>
      <c r="P31" s="181"/>
      <c r="Q31" s="181"/>
      <c r="R31" s="181"/>
      <c r="S31" s="181"/>
      <c r="T31" s="181"/>
      <c r="U31" s="181"/>
      <c r="V31" s="201"/>
      <c r="W31" s="182"/>
      <c r="X31" s="191"/>
      <c r="Y31" s="192" t="str">
        <f>IF(OR(OR(I33="",I33="ND"),U33="NA",OR(S33="NA",S33="ND")),"",IF(OR(F33&lt;6.5,F33&gt;9,D33&lt;15,D33&gt;35,H33&gt;1,I33&lt;4,K33&gt;2000,O33&gt;50,Q33&gt;80,S33&gt;60,U33&gt;10),1,""))</f>
        <v/>
      </c>
      <c r="Z31" s="192" t="str">
        <f>IF(I33="","",IF(V33&gt;5000,1,""))</f>
        <v/>
      </c>
      <c r="AA31" s="193" t="str">
        <f>IF(OR(OR(G33="",G33="ND"),OR(R33="NA",R33="ND")),"",IF(OR(E33&lt;6.5,E33&gt;9.5,C33&gt;43,G33&gt;10,J33&gt;2000,N33&gt;800,P33&gt;1100,R33&gt;600,T33&gt;100),1,""))</f>
        <v/>
      </c>
      <c r="AB31" s="112"/>
      <c r="AC31" s="112"/>
      <c r="AD31" s="103"/>
      <c r="AE31" s="103"/>
      <c r="AF31" s="5"/>
    </row>
    <row r="32" spans="1:32" ht="32.1" customHeight="1">
      <c r="A32" s="187">
        <v>19</v>
      </c>
      <c r="B32" s="104" t="str">
        <f t="shared" si="0"/>
        <v/>
      </c>
      <c r="C32" s="181"/>
      <c r="D32" s="181"/>
      <c r="E32" s="182"/>
      <c r="F32" s="182"/>
      <c r="G32" s="181"/>
      <c r="H32" s="181"/>
      <c r="I32" s="181"/>
      <c r="J32" s="183"/>
      <c r="K32" s="183"/>
      <c r="L32" s="183"/>
      <c r="M32" s="183"/>
      <c r="N32" s="183"/>
      <c r="O32" s="183"/>
      <c r="P32" s="181"/>
      <c r="Q32" s="181"/>
      <c r="R32" s="181"/>
      <c r="S32" s="181"/>
      <c r="T32" s="181"/>
      <c r="U32" s="181"/>
      <c r="V32" s="201"/>
      <c r="W32" s="182"/>
      <c r="X32" s="194"/>
      <c r="Y32" s="178"/>
      <c r="Z32" s="178"/>
      <c r="AA32" s="190"/>
      <c r="AB32" s="112"/>
      <c r="AC32" s="112"/>
      <c r="AD32" s="103"/>
      <c r="AE32" s="103"/>
      <c r="AF32" s="5"/>
    </row>
    <row r="33" spans="1:32" ht="32.1" customHeight="1">
      <c r="A33" s="179">
        <v>20</v>
      </c>
      <c r="B33" s="104" t="str">
        <f t="shared" si="0"/>
        <v/>
      </c>
      <c r="C33" s="181"/>
      <c r="D33" s="181"/>
      <c r="E33" s="182"/>
      <c r="F33" s="182"/>
      <c r="G33" s="181"/>
      <c r="H33" s="181"/>
      <c r="I33" s="181"/>
      <c r="J33" s="183"/>
      <c r="K33" s="183"/>
      <c r="L33" s="183"/>
      <c r="M33" s="183"/>
      <c r="N33" s="183"/>
      <c r="O33" s="183"/>
      <c r="P33" s="181"/>
      <c r="Q33" s="181"/>
      <c r="R33" s="181"/>
      <c r="S33" s="181"/>
      <c r="T33" s="181"/>
      <c r="U33" s="181"/>
      <c r="V33" s="201"/>
      <c r="W33" s="182"/>
      <c r="X33" s="194"/>
      <c r="Y33" s="178"/>
      <c r="Z33" s="178"/>
      <c r="AA33" s="190"/>
      <c r="AB33" s="112"/>
      <c r="AC33" s="112"/>
      <c r="AD33" s="103"/>
      <c r="AE33" s="103"/>
      <c r="AF33" s="5"/>
    </row>
    <row r="34" spans="1:32" ht="32.1" customHeight="1">
      <c r="A34" s="187">
        <v>21</v>
      </c>
      <c r="B34" s="104" t="str">
        <f t="shared" si="0"/>
        <v/>
      </c>
      <c r="C34" s="181"/>
      <c r="D34" s="181"/>
      <c r="E34" s="182"/>
      <c r="F34" s="182"/>
      <c r="G34" s="181"/>
      <c r="H34" s="181"/>
      <c r="I34" s="181"/>
      <c r="J34" s="183"/>
      <c r="K34" s="183"/>
      <c r="L34" s="183"/>
      <c r="M34" s="183"/>
      <c r="N34" s="183"/>
      <c r="O34" s="183"/>
      <c r="P34" s="181"/>
      <c r="Q34" s="181"/>
      <c r="R34" s="181"/>
      <c r="S34" s="181"/>
      <c r="T34" s="181"/>
      <c r="U34" s="181"/>
      <c r="V34" s="201"/>
      <c r="W34" s="182"/>
      <c r="X34" s="194"/>
      <c r="Y34" s="178"/>
      <c r="Z34" s="178"/>
      <c r="AA34" s="190"/>
      <c r="AB34" s="112"/>
      <c r="AC34" s="112"/>
      <c r="AD34" s="103"/>
      <c r="AE34" s="103"/>
      <c r="AF34" s="5"/>
    </row>
    <row r="35" spans="1:32" ht="32.1" customHeight="1">
      <c r="A35" s="179">
        <v>22</v>
      </c>
      <c r="B35" s="104" t="str">
        <f t="shared" si="0"/>
        <v/>
      </c>
      <c r="C35" s="181"/>
      <c r="D35" s="181"/>
      <c r="E35" s="182"/>
      <c r="F35" s="182"/>
      <c r="G35" s="181"/>
      <c r="H35" s="181"/>
      <c r="I35" s="181"/>
      <c r="J35" s="183"/>
      <c r="K35" s="183"/>
      <c r="L35" s="183"/>
      <c r="M35" s="183"/>
      <c r="N35" s="183"/>
      <c r="O35" s="183"/>
      <c r="P35" s="181"/>
      <c r="Q35" s="181"/>
      <c r="R35" s="181"/>
      <c r="S35" s="181"/>
      <c r="T35" s="181"/>
      <c r="U35" s="181"/>
      <c r="V35" s="201"/>
      <c r="W35" s="182"/>
      <c r="X35" s="194"/>
      <c r="Y35" s="178"/>
      <c r="Z35" s="178"/>
      <c r="AA35" s="190"/>
      <c r="AB35" s="112"/>
      <c r="AC35" s="112"/>
      <c r="AD35" s="103"/>
      <c r="AE35" s="103"/>
      <c r="AF35" s="5"/>
    </row>
    <row r="36" spans="1:32" ht="32.1" customHeight="1">
      <c r="A36" s="187">
        <v>23</v>
      </c>
      <c r="B36" s="104" t="str">
        <f t="shared" si="0"/>
        <v/>
      </c>
      <c r="C36" s="181"/>
      <c r="D36" s="181"/>
      <c r="E36" s="182"/>
      <c r="F36" s="182"/>
      <c r="G36" s="181"/>
      <c r="H36" s="181"/>
      <c r="I36" s="181"/>
      <c r="J36" s="183"/>
      <c r="K36" s="183"/>
      <c r="L36" s="183"/>
      <c r="M36" s="183"/>
      <c r="N36" s="183"/>
      <c r="O36" s="183"/>
      <c r="P36" s="181"/>
      <c r="Q36" s="181"/>
      <c r="R36" s="181"/>
      <c r="S36" s="181"/>
      <c r="T36" s="181"/>
      <c r="U36" s="181"/>
      <c r="V36" s="201"/>
      <c r="W36" s="182"/>
      <c r="X36" s="194"/>
      <c r="Y36" s="178"/>
      <c r="Z36" s="178"/>
      <c r="AA36" s="190"/>
      <c r="AB36" s="112"/>
      <c r="AC36" s="112"/>
      <c r="AD36" s="103"/>
      <c r="AE36" s="103"/>
      <c r="AF36" s="5"/>
    </row>
    <row r="37" spans="1:32" ht="32.1" customHeight="1">
      <c r="A37" s="179">
        <v>24</v>
      </c>
      <c r="B37" s="104" t="str">
        <f t="shared" si="0"/>
        <v/>
      </c>
      <c r="C37" s="181"/>
      <c r="D37" s="181"/>
      <c r="E37" s="182"/>
      <c r="F37" s="182"/>
      <c r="G37" s="181"/>
      <c r="H37" s="181"/>
      <c r="I37" s="181"/>
      <c r="J37" s="183"/>
      <c r="K37" s="183"/>
      <c r="L37" s="183"/>
      <c r="M37" s="183"/>
      <c r="N37" s="183"/>
      <c r="O37" s="183"/>
      <c r="P37" s="181"/>
      <c r="Q37" s="181"/>
      <c r="R37" s="181"/>
      <c r="S37" s="181"/>
      <c r="T37" s="181"/>
      <c r="U37" s="181"/>
      <c r="V37" s="201"/>
      <c r="W37" s="182"/>
      <c r="X37" s="194"/>
      <c r="Y37" s="178"/>
      <c r="Z37" s="178"/>
      <c r="AA37" s="190"/>
      <c r="AB37" s="112"/>
      <c r="AC37" s="112"/>
      <c r="AD37" s="103"/>
      <c r="AE37" s="103"/>
      <c r="AF37" s="5"/>
    </row>
    <row r="38" spans="1:32" ht="32.1" customHeight="1">
      <c r="A38" s="179">
        <v>25</v>
      </c>
      <c r="B38" s="104" t="str">
        <f t="shared" si="0"/>
        <v/>
      </c>
      <c r="C38" s="181"/>
      <c r="D38" s="181"/>
      <c r="E38" s="182"/>
      <c r="F38" s="182"/>
      <c r="G38" s="181"/>
      <c r="H38" s="181"/>
      <c r="I38" s="181"/>
      <c r="J38" s="183"/>
      <c r="K38" s="183"/>
      <c r="L38" s="183"/>
      <c r="M38" s="183"/>
      <c r="N38" s="183"/>
      <c r="O38" s="183"/>
      <c r="P38" s="181"/>
      <c r="Q38" s="181"/>
      <c r="R38" s="181"/>
      <c r="S38" s="181"/>
      <c r="T38" s="181"/>
      <c r="U38" s="181"/>
      <c r="V38" s="201"/>
      <c r="W38" s="182"/>
      <c r="X38" s="191"/>
      <c r="Y38" s="192" t="str">
        <f t="shared" ref="Y38:Y40" si="1">IF(OR(OR(I40="",I40="ND"),U40="NA",OR(S40="NA",S40="ND")),"",IF(OR(F40&lt;6.5,F40&gt;9,D40&lt;15,D40&gt;35,H40&gt;1,I40&lt;4,K40&gt;2000,O40&gt;50,Q40&gt;80,S40&gt;60,U40&gt;10),1,""))</f>
        <v/>
      </c>
      <c r="Z38" s="192" t="str">
        <f t="shared" ref="Z38:Z40" si="2">IF(I40="","",IF(V40&gt;5000,1,""))</f>
        <v/>
      </c>
      <c r="AA38" s="193" t="str">
        <f t="shared" ref="AA38:AA40" si="3">IF(OR(OR(G40="",G40="ND"),OR(R40="NA",R40="ND")),"",IF(OR(E40&lt;6.5,E40&gt;9.5,C40&gt;43,G40&gt;10,J40&gt;2000,N40&gt;800,P40&gt;1100,R40&gt;600,T40&gt;100),1,""))</f>
        <v/>
      </c>
      <c r="AB38" s="112"/>
      <c r="AC38" s="112"/>
      <c r="AD38" s="103"/>
      <c r="AE38" s="103"/>
      <c r="AF38" s="5"/>
    </row>
    <row r="39" spans="1:32" ht="32.1" customHeight="1">
      <c r="A39" s="187">
        <v>26</v>
      </c>
      <c r="B39" s="104" t="str">
        <f t="shared" si="0"/>
        <v/>
      </c>
      <c r="C39" s="181"/>
      <c r="D39" s="181"/>
      <c r="E39" s="182"/>
      <c r="F39" s="182"/>
      <c r="G39" s="181"/>
      <c r="H39" s="181"/>
      <c r="I39" s="181"/>
      <c r="J39" s="183"/>
      <c r="K39" s="183"/>
      <c r="L39" s="183"/>
      <c r="M39" s="183"/>
      <c r="N39" s="183"/>
      <c r="O39" s="183"/>
      <c r="P39" s="181"/>
      <c r="Q39" s="181"/>
      <c r="R39" s="181"/>
      <c r="S39" s="181"/>
      <c r="T39" s="181"/>
      <c r="U39" s="181"/>
      <c r="V39" s="201"/>
      <c r="W39" s="182"/>
      <c r="X39" s="191"/>
      <c r="Y39" s="192" t="str">
        <f t="shared" si="1"/>
        <v/>
      </c>
      <c r="Z39" s="192" t="str">
        <f t="shared" si="2"/>
        <v/>
      </c>
      <c r="AA39" s="193" t="str">
        <f t="shared" si="3"/>
        <v/>
      </c>
      <c r="AB39" s="112"/>
      <c r="AC39" s="112"/>
      <c r="AD39" s="103"/>
      <c r="AE39" s="103"/>
      <c r="AF39" s="5"/>
    </row>
    <row r="40" spans="1:32" ht="32.1" customHeight="1">
      <c r="A40" s="179">
        <v>27</v>
      </c>
      <c r="B40" s="104" t="str">
        <f t="shared" si="0"/>
        <v/>
      </c>
      <c r="C40" s="181"/>
      <c r="D40" s="181"/>
      <c r="E40" s="182"/>
      <c r="F40" s="182"/>
      <c r="G40" s="181"/>
      <c r="H40" s="181"/>
      <c r="I40" s="181"/>
      <c r="J40" s="183"/>
      <c r="K40" s="183"/>
      <c r="L40" s="183"/>
      <c r="M40" s="183"/>
      <c r="N40" s="183"/>
      <c r="O40" s="183"/>
      <c r="P40" s="181"/>
      <c r="Q40" s="181"/>
      <c r="R40" s="181"/>
      <c r="S40" s="181"/>
      <c r="T40" s="181"/>
      <c r="U40" s="181"/>
      <c r="V40" s="201"/>
      <c r="W40" s="182"/>
      <c r="X40" s="191"/>
      <c r="Y40" s="192" t="str">
        <f t="shared" si="1"/>
        <v/>
      </c>
      <c r="Z40" s="192" t="str">
        <f t="shared" si="2"/>
        <v/>
      </c>
      <c r="AA40" s="193" t="str">
        <f t="shared" si="3"/>
        <v/>
      </c>
      <c r="AB40" s="112"/>
      <c r="AC40" s="112"/>
      <c r="AD40" s="103"/>
      <c r="AE40" s="103"/>
      <c r="AF40" s="5"/>
    </row>
    <row r="41" spans="1:32" ht="32.1" customHeight="1">
      <c r="A41" s="179">
        <v>28</v>
      </c>
      <c r="B41" s="104" t="str">
        <f t="shared" si="0"/>
        <v/>
      </c>
      <c r="C41" s="181"/>
      <c r="D41" s="181"/>
      <c r="E41" s="182"/>
      <c r="F41" s="182"/>
      <c r="G41" s="181"/>
      <c r="H41" s="181"/>
      <c r="I41" s="181"/>
      <c r="J41" s="183"/>
      <c r="K41" s="183"/>
      <c r="L41" s="183"/>
      <c r="M41" s="183"/>
      <c r="N41" s="183"/>
      <c r="O41" s="183"/>
      <c r="P41" s="181"/>
      <c r="Q41" s="181"/>
      <c r="R41" s="181"/>
      <c r="S41" s="181"/>
      <c r="T41" s="181"/>
      <c r="U41" s="181"/>
      <c r="V41" s="201"/>
      <c r="W41" s="182"/>
      <c r="X41" s="194"/>
      <c r="Y41" s="178"/>
      <c r="Z41" s="178"/>
      <c r="AA41" s="190"/>
      <c r="AB41" s="112"/>
      <c r="AC41" s="112"/>
      <c r="AD41" s="103"/>
      <c r="AE41" s="103"/>
      <c r="AF41" s="5"/>
    </row>
    <row r="42" spans="1:32" ht="32.1" customHeight="1">
      <c r="A42" s="187">
        <v>29</v>
      </c>
      <c r="B42" s="104" t="str">
        <f t="shared" si="0"/>
        <v/>
      </c>
      <c r="C42" s="181"/>
      <c r="D42" s="181"/>
      <c r="E42" s="182"/>
      <c r="F42" s="182"/>
      <c r="G42" s="181"/>
      <c r="H42" s="181"/>
      <c r="I42" s="181"/>
      <c r="J42" s="183"/>
      <c r="K42" s="183"/>
      <c r="L42" s="183"/>
      <c r="M42" s="183"/>
      <c r="N42" s="183"/>
      <c r="O42" s="183"/>
      <c r="P42" s="181"/>
      <c r="Q42" s="181"/>
      <c r="R42" s="181"/>
      <c r="S42" s="181"/>
      <c r="T42" s="181"/>
      <c r="U42" s="181"/>
      <c r="V42" s="201"/>
      <c r="W42" s="182"/>
      <c r="X42" s="191"/>
      <c r="Y42" s="192" t="str">
        <f>IF(OR(OR(I44="",I44="ND"),U44="NA",OR(S44="NA",S44="ND")),"",IF(OR(F44&lt;6.5,F44&gt;9,D44&lt;15,D44&gt;35,H44&gt;1,I44&lt;4,K44&gt;2000,O44&gt;50,Q44&gt;80,S44&gt;60,U44&gt;10),1,""))</f>
        <v/>
      </c>
      <c r="Z42" s="192" t="str">
        <f>IF(I44="","",IF(V44&gt;5000,1,""))</f>
        <v/>
      </c>
      <c r="AA42" s="193" t="str">
        <f>IF(OR(OR(G44="",G44="ND"),OR(R44="NA",R44="ND")),"",IF(OR(E44&lt;6.5,E44&gt;9.5,C44&gt;43,G44&gt;10,J44&gt;2000,N44&gt;800,P44&gt;1100,R44&gt;600,T44&gt;100),1,""))</f>
        <v/>
      </c>
      <c r="AB42" s="112"/>
      <c r="AC42" s="112"/>
      <c r="AD42" s="103"/>
      <c r="AE42" s="103"/>
      <c r="AF42" s="5"/>
    </row>
    <row r="43" spans="1:32" ht="32.1" customHeight="1">
      <c r="A43" s="179">
        <v>30</v>
      </c>
      <c r="B43" s="104" t="str">
        <f t="shared" si="0"/>
        <v/>
      </c>
      <c r="C43" s="181"/>
      <c r="D43" s="181"/>
      <c r="E43" s="182"/>
      <c r="F43" s="182"/>
      <c r="G43" s="181"/>
      <c r="H43" s="181"/>
      <c r="I43" s="181"/>
      <c r="J43" s="183"/>
      <c r="K43" s="183"/>
      <c r="L43" s="183"/>
      <c r="M43" s="183"/>
      <c r="N43" s="183"/>
      <c r="O43" s="183"/>
      <c r="P43" s="181"/>
      <c r="Q43" s="181"/>
      <c r="R43" s="181"/>
      <c r="S43" s="181"/>
      <c r="T43" s="181"/>
      <c r="U43" s="181"/>
      <c r="V43" s="201"/>
      <c r="W43" s="182"/>
      <c r="X43" s="194"/>
      <c r="Y43" s="178"/>
      <c r="Z43" s="178"/>
      <c r="AA43" s="190"/>
      <c r="AB43" s="112"/>
      <c r="AC43" s="112"/>
      <c r="AD43" s="5"/>
      <c r="AE43" s="5"/>
      <c r="AF43" s="5"/>
    </row>
    <row r="44" spans="1:32" ht="32.1" customHeight="1">
      <c r="A44" s="179">
        <v>31</v>
      </c>
      <c r="B44" s="104" t="str">
        <f t="shared" si="0"/>
        <v/>
      </c>
      <c r="C44" s="181"/>
      <c r="D44" s="181"/>
      <c r="E44" s="182"/>
      <c r="F44" s="182"/>
      <c r="G44" s="181"/>
      <c r="H44" s="181"/>
      <c r="I44" s="181"/>
      <c r="J44" s="183"/>
      <c r="K44" s="183"/>
      <c r="L44" s="183"/>
      <c r="M44" s="183"/>
      <c r="N44" s="183"/>
      <c r="O44" s="183"/>
      <c r="P44" s="181"/>
      <c r="Q44" s="181"/>
      <c r="R44" s="181"/>
      <c r="S44" s="181"/>
      <c r="T44" s="181"/>
      <c r="U44" s="181"/>
      <c r="V44" s="201"/>
      <c r="W44" s="182"/>
      <c r="X44" s="160"/>
      <c r="Y44" s="159"/>
      <c r="Z44" s="159"/>
      <c r="AA44" s="159"/>
      <c r="AB44" s="112"/>
      <c r="AC44" s="112"/>
    </row>
    <row r="45" spans="1:32" ht="32.1" customHeight="1">
      <c r="A45" s="6"/>
      <c r="B45" s="7" t="s">
        <v>1</v>
      </c>
      <c r="C45" s="124" t="str">
        <f>IFERROR(IF(COUNT(Table4[Column3])&gt;0,MIN(C15:C44),""),"")</f>
        <v/>
      </c>
      <c r="D45" s="124" t="str">
        <f>IFERROR(IF(COUNT(Table4[Column4])&gt;0,MIN(D15:D44),""),"")</f>
        <v/>
      </c>
      <c r="E45" s="124" t="str">
        <f>IFERROR(IF(COUNT(Table4[Column5])&gt;0,MIN(E15:E44),""),"")</f>
        <v/>
      </c>
      <c r="F45" s="124" t="str">
        <f>IFERROR(IF(COUNT(Table4[Column6])&gt;0,MIN(F15:F44),""),"")</f>
        <v/>
      </c>
      <c r="G45" s="124" t="str">
        <f>IFERROR(IF(COUNT(Table4[Column7])&gt;0,MIN(G15:G44),""),"")</f>
        <v/>
      </c>
      <c r="H45" s="124" t="str">
        <f>IFERROR(IF(COUNT(Table4[Column8])&gt;0,MIN(H15:H44),""),"")</f>
        <v/>
      </c>
      <c r="I45" s="124" t="str">
        <f>IFERROR(IF(COUNT(Table4[Column9])&gt;0,MIN(I15:I44),""),"")</f>
        <v/>
      </c>
      <c r="J45" s="124" t="str">
        <f>IFERROR(IF(COUNT(Table4[Column10])&gt;0,MIN(J15:J44),""),"")</f>
        <v/>
      </c>
      <c r="K45" s="124" t="str">
        <f>IFERROR(IF(COUNT(Table4[Column11])&gt;0,MIN(K15:K44),""),"")</f>
        <v/>
      </c>
      <c r="L45" s="124" t="str">
        <f>IFERROR(IF(COUNT(Table4[Column12])&gt;0,MIN(L15:L44),""),"")</f>
        <v/>
      </c>
      <c r="M45" s="124" t="str">
        <f>IFERROR(IF(COUNT(Table4[Column13])&gt;0,MIN(M15:M44),""),"")</f>
        <v/>
      </c>
      <c r="N45" s="124" t="str">
        <f>IFERROR(IF(COUNT(Table4[Column14])&gt;0,MIN(N15:N44),""),"")</f>
        <v/>
      </c>
      <c r="O45" s="124" t="str">
        <f>IFERROR(IF(COUNT(Table4[Column15])&gt;0,MIN(O15:O44),""),"")</f>
        <v/>
      </c>
      <c r="P45" s="124" t="str">
        <f>IFERROR(IF(COUNT(Table4[Column16])&gt;0,MIN(P15:P44),""),"")</f>
        <v/>
      </c>
      <c r="Q45" s="124" t="str">
        <f>IFERROR(IF(COUNT(Table4[Column17])&gt;0,MIN(Q15:Q44),""),"")</f>
        <v/>
      </c>
      <c r="R45" s="124" t="str">
        <f>IFERROR(IF(COUNT(Table4[Column18])&gt;0,MIN(R15:R44),""),"")</f>
        <v/>
      </c>
      <c r="S45" s="124" t="str">
        <f>IFERROR(IF(COUNT(Table4[Column19])&gt;0,MIN(S15:S44),""),"")</f>
        <v/>
      </c>
      <c r="T45" s="124" t="str">
        <f>IFERROR(IF(COUNT(Table4[Column20])&gt;0,MIN(T15:T44),""),"")</f>
        <v/>
      </c>
      <c r="U45" s="124" t="str">
        <f>IFERROR(IF(COUNT(Table4[Column21])&gt;0,MIN(U15:U44),""),"")</f>
        <v/>
      </c>
      <c r="V45" s="202" t="str">
        <f>IFERROR(IF(COUNT(Table4[Column22])&gt;0,MIN(V15:V44),""),"")</f>
        <v/>
      </c>
      <c r="W45" s="124" t="str">
        <f>IFERROR(IF(COUNT(Table4[Column23])&gt;0,MIN(W15:W44),""),"")</f>
        <v/>
      </c>
      <c r="X45" s="160"/>
      <c r="Y45" s="160"/>
      <c r="Z45" s="160"/>
      <c r="AA45" s="160"/>
      <c r="AB45" s="112"/>
      <c r="AC45" s="112"/>
    </row>
    <row r="46" spans="1:32" ht="32.1" customHeight="1">
      <c r="A46" s="6"/>
      <c r="B46" s="7" t="s">
        <v>2</v>
      </c>
      <c r="C46" s="124" t="str">
        <f>IFERROR(IF(COUNT(Table4[Column3])&gt;0,MAX(C15:C44),""),"")</f>
        <v/>
      </c>
      <c r="D46" s="124" t="str">
        <f>IFERROR(IF(COUNT(Table4[Column4])&gt;0,MAX(D15:D44),""),"")</f>
        <v/>
      </c>
      <c r="E46" s="124" t="str">
        <f>IFERROR(IF(COUNT(Table4[Column5])&gt;0,MAX(E15:E44),""),"")</f>
        <v/>
      </c>
      <c r="F46" s="124" t="str">
        <f>IFERROR(IF(COUNT(Table4[Column6])&gt;0,MAX(F15:F44),""),"")</f>
        <v/>
      </c>
      <c r="G46" s="124" t="str">
        <f>IFERROR(IF(COUNT(Table4[Column7])&gt;0,MAX(G15:G44),""),"")</f>
        <v/>
      </c>
      <c r="H46" s="124" t="str">
        <f>IFERROR(IF(COUNT(Table4[Column8])&gt;0,MAX(H15:H44),""),"")</f>
        <v/>
      </c>
      <c r="I46" s="124" t="str">
        <f>IFERROR(IF(COUNT(Table4[Column9])&gt;0,MAX(I15:I44),""),"")</f>
        <v/>
      </c>
      <c r="J46" s="124" t="str">
        <f>IFERROR(IF(COUNT(Table4[Column10])&gt;0,MAX(J15:J44),""),"")</f>
        <v/>
      </c>
      <c r="K46" s="124" t="str">
        <f>IFERROR(IF(COUNT(Table4[Column11])&gt;0,MAX(K15:K44),""),"")</f>
        <v/>
      </c>
      <c r="L46" s="124" t="str">
        <f>IFERROR(IF(COUNT(Table4[Column12])&gt;0,MAX(L15:L44),""),"")</f>
        <v/>
      </c>
      <c r="M46" s="124" t="str">
        <f>IFERROR(IF(COUNT(Table4[Column13])&gt;0,MAX(M15:M44),""),"")</f>
        <v/>
      </c>
      <c r="N46" s="124" t="str">
        <f>IFERROR(IF(COUNT(Table4[Column14])&gt;0,MAX(N15:N44),""),"")</f>
        <v/>
      </c>
      <c r="O46" s="124" t="str">
        <f>IFERROR(IF(COUNT(Table4[Column15])&gt;0,MAX(O15:O44),""),"")</f>
        <v/>
      </c>
      <c r="P46" s="124" t="str">
        <f>IFERROR(IF(COUNT(Table4[Column16])&gt;0,MAX(P15:P44),""),"")</f>
        <v/>
      </c>
      <c r="Q46" s="124" t="str">
        <f>IFERROR(IF(COUNT(Table4[Column17])&gt;0,MAX(Q15:Q44),""),"")</f>
        <v/>
      </c>
      <c r="R46" s="124" t="str">
        <f>IFERROR(IF(COUNT(Table4[Column18])&gt;0,MAX(R15:R44),""),"")</f>
        <v/>
      </c>
      <c r="S46" s="124" t="str">
        <f>IFERROR(IF(COUNT(Table4[Column19])&gt;0,MAX(S15:S44),""),"")</f>
        <v/>
      </c>
      <c r="T46" s="124" t="str">
        <f>IFERROR(IF(COUNT(Table4[Column20])&gt;0,MAX(T15:T44),""),"")</f>
        <v/>
      </c>
      <c r="U46" s="124" t="str">
        <f>IFERROR(IF(COUNT(Table4[Column21])&gt;0,MAX(U15:U44),""),"")</f>
        <v/>
      </c>
      <c r="V46" s="202" t="str">
        <f>IFERROR(IF(COUNT(Table4[Column22])&gt;0,MAX(V15:V44),""),"")</f>
        <v/>
      </c>
      <c r="W46" s="124" t="str">
        <f>IFERROR(IF(COUNT(Table4[Column23])&gt;0,MAX(W15:W44),""),"")</f>
        <v/>
      </c>
      <c r="X46" s="160"/>
      <c r="Y46" s="143"/>
      <c r="Z46" s="143"/>
      <c r="AA46" s="143"/>
      <c r="AB46" s="112"/>
      <c r="AC46" s="112"/>
    </row>
    <row r="47" spans="1:32" ht="32.1" customHeight="1">
      <c r="A47" s="6"/>
      <c r="B47" s="8" t="s">
        <v>0</v>
      </c>
      <c r="C47" s="124" t="str">
        <f t="shared" ref="C47:W47" si="4">IFERROR(AVERAGEIF(C15:C44,"&gt;0"),"")</f>
        <v/>
      </c>
      <c r="D47" s="124" t="str">
        <f t="shared" si="4"/>
        <v/>
      </c>
      <c r="E47" s="126" t="str">
        <f t="shared" si="4"/>
        <v/>
      </c>
      <c r="F47" s="126" t="str">
        <f t="shared" si="4"/>
        <v/>
      </c>
      <c r="G47" s="124" t="str">
        <f t="shared" si="4"/>
        <v/>
      </c>
      <c r="H47" s="124" t="str">
        <f t="shared" si="4"/>
        <v/>
      </c>
      <c r="I47" s="124" t="str">
        <f t="shared" si="4"/>
        <v/>
      </c>
      <c r="J47" s="137" t="str">
        <f t="shared" si="4"/>
        <v/>
      </c>
      <c r="K47" s="137" t="str">
        <f t="shared" si="4"/>
        <v/>
      </c>
      <c r="L47" s="137" t="str">
        <f t="shared" si="4"/>
        <v/>
      </c>
      <c r="M47" s="137" t="str">
        <f t="shared" si="4"/>
        <v/>
      </c>
      <c r="N47" s="137" t="str">
        <f t="shared" si="4"/>
        <v/>
      </c>
      <c r="O47" s="137" t="str">
        <f t="shared" si="4"/>
        <v/>
      </c>
      <c r="P47" s="124" t="str">
        <f t="shared" si="4"/>
        <v/>
      </c>
      <c r="Q47" s="124" t="str">
        <f t="shared" si="4"/>
        <v/>
      </c>
      <c r="R47" s="124" t="str">
        <f t="shared" si="4"/>
        <v/>
      </c>
      <c r="S47" s="124" t="str">
        <f t="shared" si="4"/>
        <v/>
      </c>
      <c r="T47" s="124" t="str">
        <f t="shared" si="4"/>
        <v/>
      </c>
      <c r="U47" s="124" t="str">
        <f t="shared" si="4"/>
        <v/>
      </c>
      <c r="V47" s="124" t="str">
        <f>IFERROR(IF(COUNT(V14:V44)&gt;0,TEXT(AVERAGE(V14:V44),"0.00 "&amp;" X 10" &amp; CHAR(179)),""),"")</f>
        <v/>
      </c>
      <c r="W47" s="126" t="str">
        <f t="shared" si="4"/>
        <v/>
      </c>
      <c r="X47" s="165"/>
      <c r="Y47" s="172">
        <f>MAX(T48,R48,P48,N48,J48,G48,E48,C48)</f>
        <v>0</v>
      </c>
      <c r="Z47" s="172">
        <f>MAX(U48,S48,Q48,O48,K48,H48,F48,D48)</f>
        <v>0</v>
      </c>
      <c r="AA47" s="172">
        <f>V48</f>
        <v>0</v>
      </c>
      <c r="AB47" s="112"/>
      <c r="AC47" s="112"/>
    </row>
    <row r="48" spans="1:32" ht="23.4">
      <c r="A48" s="207"/>
      <c r="B48" s="207"/>
      <c r="C48" s="163">
        <f>COUNT(Table4[Column3])-COUNTIFS(Table4[Column3],"&gt;15",Table4[Column3],"&lt;35")</f>
        <v>0</v>
      </c>
      <c r="D48" s="163">
        <f>COUNT(Table4[Column4])-COUNTIFS(Table4[Column4],"&gt;15",Table4[Column4],"&lt;35")</f>
        <v>0</v>
      </c>
      <c r="E48" s="163">
        <f>COUNT(Table4[Column5])-COUNTIFS(Table4[Column5],"&gt;6.5",Table4[Column5],"&lt;9")</f>
        <v>0</v>
      </c>
      <c r="F48" s="163">
        <f>COUNT(Table4[Column6])-COUNTIFS(Table4[Column6],"&gt;6.5",Table4[Column6],"&lt;9")</f>
        <v>0</v>
      </c>
      <c r="G48" s="163">
        <f>COUNT(Table4[Column7])-COUNTIF(Table4[Column7],G13)</f>
        <v>0</v>
      </c>
      <c r="H48" s="163">
        <f>COUNT(Table4[Column8])-COUNTIF(Table4[Column8],H13)</f>
        <v>0</v>
      </c>
      <c r="I48" s="163">
        <f>COUNT(Table4[Column9])-COUNTIF(Table4[Column9],I13)</f>
        <v>0</v>
      </c>
      <c r="J48" s="163"/>
      <c r="K48" s="163"/>
      <c r="L48" s="163">
        <f>COUNT(Table4[Column12])-COUNTIF(Table4[Column12],L13)</f>
        <v>0</v>
      </c>
      <c r="M48" s="163">
        <f>COUNT(Table4[Column13])-COUNTIF(Table4[Column13],M13)</f>
        <v>0</v>
      </c>
      <c r="N48" s="163">
        <f>COUNT(Table4[Column14])-COUNTIF(Table4[Column14],N13)</f>
        <v>0</v>
      </c>
      <c r="O48" s="163">
        <f>COUNT(Table4[Column15])-COUNTIF(Table4[Column15],O13)</f>
        <v>0</v>
      </c>
      <c r="P48" s="163">
        <f>COUNT(Table4[Column16])-COUNTIF(Table4[Column16],P13)</f>
        <v>0</v>
      </c>
      <c r="Q48" s="163">
        <f>COUNT(Table4[Column17])-COUNTIF(Table4[Column17],Q13)</f>
        <v>0</v>
      </c>
      <c r="R48" s="163">
        <f>COUNT(Table4[Column18])-COUNTIF(Table4[Column18],R13)</f>
        <v>0</v>
      </c>
      <c r="S48" s="163">
        <f>COUNT(Table4[Column19])-COUNTIF(Table4[Column19],S13)</f>
        <v>0</v>
      </c>
      <c r="T48" s="163">
        <f>COUNT(Table4[Column20])-COUNTIF(Table4[Column20],T13)</f>
        <v>0</v>
      </c>
      <c r="U48" s="163">
        <f>COUNT(Table4[Column21])-COUNTIF(Table4[Column21],U13)</f>
        <v>0</v>
      </c>
      <c r="V48" s="163">
        <f>COUNT(Table4[Column22])-COUNTIF(Table4[Column22],"&lt;"&amp;V13)</f>
        <v>0</v>
      </c>
      <c r="W48" s="164"/>
      <c r="X48" s="160"/>
      <c r="Y48" s="143"/>
      <c r="Z48" s="143"/>
      <c r="AA48" s="143"/>
      <c r="AB48" s="112"/>
      <c r="AC48" s="112"/>
    </row>
    <row r="49" spans="1:32" ht="23.4">
      <c r="A49" s="152"/>
      <c r="B49" s="152"/>
      <c r="C49" s="161"/>
      <c r="D49" s="161"/>
      <c r="E49" s="161"/>
      <c r="F49" s="161"/>
      <c r="G49" s="161"/>
      <c r="H49" s="161"/>
      <c r="I49" s="161"/>
      <c r="J49" s="161"/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51"/>
      <c r="X49" s="10"/>
      <c r="Y49" s="9"/>
      <c r="Z49" s="9"/>
      <c r="AA49" s="9"/>
    </row>
    <row r="50" spans="1:32" ht="22.8">
      <c r="A50" s="206" t="s">
        <v>3</v>
      </c>
      <c r="B50" s="276"/>
      <c r="C50" s="206" t="s">
        <v>34</v>
      </c>
      <c r="D50" s="206"/>
      <c r="E50" s="206" t="s">
        <v>25</v>
      </c>
      <c r="F50" s="206"/>
      <c r="G50" s="206" t="s">
        <v>16</v>
      </c>
      <c r="H50" s="206"/>
      <c r="I50" s="4" t="s">
        <v>5</v>
      </c>
      <c r="J50" s="206" t="s">
        <v>17</v>
      </c>
      <c r="K50" s="206"/>
      <c r="L50" s="209" t="s">
        <v>18</v>
      </c>
      <c r="M50" s="210"/>
      <c r="N50" s="206" t="s">
        <v>19</v>
      </c>
      <c r="O50" s="206"/>
      <c r="P50" s="206" t="s">
        <v>20</v>
      </c>
      <c r="Q50" s="206"/>
      <c r="R50" s="206" t="s">
        <v>21</v>
      </c>
      <c r="S50" s="206"/>
      <c r="T50" s="206" t="s">
        <v>26</v>
      </c>
      <c r="U50" s="206"/>
      <c r="V50" s="4" t="s">
        <v>39</v>
      </c>
      <c r="W50" s="4" t="s">
        <v>27</v>
      </c>
      <c r="X50" s="10"/>
      <c r="Y50" s="9"/>
      <c r="Z50" s="9"/>
      <c r="AA50" s="9"/>
    </row>
    <row r="51" spans="1:32" ht="32.1" customHeight="1">
      <c r="A51" s="206"/>
      <c r="B51" s="205" t="s">
        <v>98</v>
      </c>
      <c r="C51" s="4" t="s">
        <v>15</v>
      </c>
      <c r="D51" s="4" t="s">
        <v>28</v>
      </c>
      <c r="E51" s="4" t="s">
        <v>15</v>
      </c>
      <c r="F51" s="4" t="s">
        <v>28</v>
      </c>
      <c r="G51" s="4" t="s">
        <v>15</v>
      </c>
      <c r="H51" s="4" t="s">
        <v>28</v>
      </c>
      <c r="I51" s="4" t="s">
        <v>28</v>
      </c>
      <c r="J51" s="4" t="s">
        <v>15</v>
      </c>
      <c r="K51" s="4" t="s">
        <v>28</v>
      </c>
      <c r="L51" s="4" t="s">
        <v>15</v>
      </c>
      <c r="M51" s="4" t="s">
        <v>28</v>
      </c>
      <c r="N51" s="4" t="s">
        <v>15</v>
      </c>
      <c r="O51" s="4" t="s">
        <v>28</v>
      </c>
      <c r="P51" s="4" t="s">
        <v>15</v>
      </c>
      <c r="Q51" s="4" t="s">
        <v>28</v>
      </c>
      <c r="R51" s="4" t="s">
        <v>15</v>
      </c>
      <c r="S51" s="4" t="s">
        <v>28</v>
      </c>
      <c r="T51" s="4" t="s">
        <v>15</v>
      </c>
      <c r="U51" s="4" t="s">
        <v>28</v>
      </c>
      <c r="V51" s="4" t="s">
        <v>40</v>
      </c>
      <c r="W51" s="4" t="s">
        <v>28</v>
      </c>
      <c r="X51" s="159"/>
      <c r="Y51" s="176"/>
      <c r="Z51" s="176"/>
      <c r="AA51" s="177"/>
      <c r="AB51" s="160"/>
      <c r="AC51" s="160"/>
      <c r="AD51" s="103"/>
      <c r="AE51" s="103"/>
      <c r="AF51" s="5"/>
    </row>
    <row r="52" spans="1:32" ht="32.1" customHeight="1">
      <c r="A52" s="106">
        <v>1</v>
      </c>
      <c r="B52" s="104"/>
      <c r="C52" s="122"/>
      <c r="D52" s="122"/>
      <c r="E52" s="125"/>
      <c r="F52" s="125"/>
      <c r="G52" s="122"/>
      <c r="H52" s="122"/>
      <c r="I52" s="122"/>
      <c r="J52" s="136"/>
      <c r="K52" s="136"/>
      <c r="L52" s="136"/>
      <c r="M52" s="136"/>
      <c r="N52" s="136"/>
      <c r="O52" s="136"/>
      <c r="P52" s="122"/>
      <c r="Q52" s="122"/>
      <c r="R52" s="122"/>
      <c r="S52" s="122"/>
      <c r="T52" s="122"/>
      <c r="U52" s="122"/>
      <c r="V52" s="203"/>
      <c r="W52" s="127"/>
      <c r="X52" s="159"/>
      <c r="Y52" s="176"/>
      <c r="Z52" s="176"/>
      <c r="AA52" s="177"/>
      <c r="AB52" s="160"/>
      <c r="AC52" s="160"/>
      <c r="AD52" s="103"/>
      <c r="AE52" s="103"/>
      <c r="AF52" s="5"/>
    </row>
    <row r="53" spans="1:32" ht="32.1" customHeight="1">
      <c r="A53" s="105">
        <v>2</v>
      </c>
      <c r="B53" s="104"/>
      <c r="C53" s="122"/>
      <c r="D53" s="122"/>
      <c r="E53" s="125"/>
      <c r="F53" s="125"/>
      <c r="G53" s="122"/>
      <c r="H53" s="122"/>
      <c r="I53" s="122"/>
      <c r="J53" s="136"/>
      <c r="K53" s="136"/>
      <c r="L53" s="136"/>
      <c r="M53" s="136"/>
      <c r="N53" s="136"/>
      <c r="O53" s="136"/>
      <c r="P53" s="122"/>
      <c r="Q53" s="122"/>
      <c r="R53" s="122"/>
      <c r="S53" s="122"/>
      <c r="T53" s="122"/>
      <c r="U53" s="122"/>
      <c r="V53" s="203"/>
      <c r="W53" s="127"/>
      <c r="X53" s="159"/>
      <c r="Y53" s="176"/>
      <c r="Z53" s="176"/>
      <c r="AA53" s="177"/>
      <c r="AB53" s="160"/>
      <c r="AC53" s="160"/>
      <c r="AD53" s="103"/>
      <c r="AE53" s="103"/>
      <c r="AF53" s="5"/>
    </row>
    <row r="54" spans="1:32" ht="32.1" customHeight="1">
      <c r="A54" s="105">
        <v>3</v>
      </c>
      <c r="B54" s="104"/>
      <c r="C54" s="122"/>
      <c r="D54" s="122"/>
      <c r="E54" s="125"/>
      <c r="F54" s="125"/>
      <c r="G54" s="122"/>
      <c r="H54" s="122"/>
      <c r="I54" s="122"/>
      <c r="J54" s="136"/>
      <c r="K54" s="136"/>
      <c r="L54" s="136"/>
      <c r="M54" s="136"/>
      <c r="N54" s="136"/>
      <c r="O54" s="136"/>
      <c r="P54" s="122"/>
      <c r="Q54" s="122"/>
      <c r="R54" s="122"/>
      <c r="S54" s="122"/>
      <c r="T54" s="122"/>
      <c r="U54" s="122"/>
      <c r="V54" s="203"/>
      <c r="W54" s="127"/>
      <c r="X54" s="159"/>
      <c r="Y54" s="176"/>
      <c r="Z54" s="176" t="str">
        <f>IF(V55&gt;5000,1,"")</f>
        <v/>
      </c>
      <c r="AA54" s="177"/>
      <c r="AB54" s="160"/>
      <c r="AC54" s="160"/>
      <c r="AD54" s="103"/>
      <c r="AE54" s="103"/>
      <c r="AF54" s="5"/>
    </row>
    <row r="55" spans="1:32" ht="32.1" customHeight="1">
      <c r="A55" s="106">
        <v>4</v>
      </c>
      <c r="B55" s="104"/>
      <c r="C55" s="122"/>
      <c r="D55" s="122"/>
      <c r="E55" s="125"/>
      <c r="F55" s="125"/>
      <c r="G55" s="122"/>
      <c r="H55" s="122"/>
      <c r="I55" s="122"/>
      <c r="J55" s="136"/>
      <c r="K55" s="136"/>
      <c r="L55" s="136"/>
      <c r="M55" s="136"/>
      <c r="N55" s="136"/>
      <c r="O55" s="136"/>
      <c r="P55" s="122"/>
      <c r="Q55" s="122"/>
      <c r="R55" s="122"/>
      <c r="S55" s="122"/>
      <c r="T55" s="122"/>
      <c r="U55" s="122"/>
      <c r="V55" s="203"/>
      <c r="W55" s="127"/>
      <c r="X55" s="159"/>
      <c r="Y55" s="176"/>
      <c r="Z55" s="176" t="str">
        <f>IF(V56&gt;5000,1,"")</f>
        <v/>
      </c>
      <c r="AA55" s="177"/>
      <c r="AB55" s="160"/>
      <c r="AC55" s="160"/>
      <c r="AD55" s="103"/>
      <c r="AE55" s="103"/>
      <c r="AF55" s="5"/>
    </row>
    <row r="56" spans="1:32" ht="32.1" customHeight="1">
      <c r="A56" s="107">
        <v>5</v>
      </c>
      <c r="B56" s="148"/>
      <c r="C56" s="123"/>
      <c r="D56" s="123"/>
      <c r="E56" s="173"/>
      <c r="F56" s="173"/>
      <c r="G56" s="123"/>
      <c r="H56" s="123"/>
      <c r="I56" s="123"/>
      <c r="J56" s="174"/>
      <c r="K56" s="174"/>
      <c r="L56" s="174"/>
      <c r="M56" s="174"/>
      <c r="N56" s="174"/>
      <c r="O56" s="174"/>
      <c r="P56" s="123"/>
      <c r="Q56" s="123"/>
      <c r="R56" s="123"/>
      <c r="S56" s="123"/>
      <c r="T56" s="123"/>
      <c r="U56" s="123"/>
      <c r="V56" s="123"/>
      <c r="W56" s="175"/>
      <c r="X56" s="160"/>
      <c r="Y56" s="172">
        <f t="shared" ref="Y56:Y57" si="5">MAX(T57,R57,P57,N57,J57,G57,E57,C57)</f>
        <v>0</v>
      </c>
      <c r="Z56" s="172">
        <f t="shared" ref="Z56:Z57" si="6">MAX(U57,S57,Q57,O57,K57,H57,F57,D57)</f>
        <v>0</v>
      </c>
      <c r="AA56" s="172">
        <f t="shared" ref="AA56:AA57" si="7">V57</f>
        <v>0</v>
      </c>
      <c r="AB56" s="112"/>
      <c r="AC56" s="112"/>
      <c r="AD56" s="103"/>
      <c r="AE56" s="103"/>
      <c r="AF56" s="5"/>
    </row>
    <row r="57" spans="1:32" ht="32.1" customHeight="1">
      <c r="A57" s="156"/>
      <c r="B57" s="157"/>
      <c r="C57" s="163">
        <f>COUNT(C52)-COUNTIFS(C52,"&gt;15",C52,"&lt;35")</f>
        <v>0</v>
      </c>
      <c r="D57" s="163">
        <f>COUNT(D52)-COUNTIFS(D52,"&gt;15",D52,"&lt;35")</f>
        <v>0</v>
      </c>
      <c r="E57" s="163">
        <f>COUNT(E52)-COUNTIFS(E52,"&gt;6.5",E52,"&lt;9")</f>
        <v>0</v>
      </c>
      <c r="F57" s="163">
        <f>COUNT(F52)-COUNTIFS(F52,"&gt;6.5",F52,"&lt;9")</f>
        <v>0</v>
      </c>
      <c r="G57" s="163">
        <f>COUNT(G52)-COUNTIF(G52,G13)</f>
        <v>0</v>
      </c>
      <c r="H57" s="163">
        <f>COUNT(H52)-COUNTIF(H52,H13)</f>
        <v>0</v>
      </c>
      <c r="I57" s="163">
        <f>COUNT(I52)-COUNTIF(I52,I13)</f>
        <v>0</v>
      </c>
      <c r="J57" s="163">
        <f>COUNT(J52)-COUNTIF(J52,J13)</f>
        <v>0</v>
      </c>
      <c r="K57" s="163">
        <f>COUNT(K52)-COUNTIF(K52,K13)</f>
        <v>0</v>
      </c>
      <c r="L57" s="163"/>
      <c r="M57" s="163"/>
      <c r="N57" s="163">
        <f t="shared" ref="N57:V57" si="8">COUNT(N52)-COUNTIF(N52,N13)</f>
        <v>0</v>
      </c>
      <c r="O57" s="163">
        <f t="shared" si="8"/>
        <v>0</v>
      </c>
      <c r="P57" s="163">
        <f t="shared" si="8"/>
        <v>0</v>
      </c>
      <c r="Q57" s="163">
        <f t="shared" si="8"/>
        <v>0</v>
      </c>
      <c r="R57" s="163">
        <f t="shared" si="8"/>
        <v>0</v>
      </c>
      <c r="S57" s="163">
        <f t="shared" si="8"/>
        <v>0</v>
      </c>
      <c r="T57" s="163">
        <f t="shared" si="8"/>
        <v>0</v>
      </c>
      <c r="U57" s="163">
        <f t="shared" si="8"/>
        <v>0</v>
      </c>
      <c r="V57" s="163">
        <f t="shared" si="8"/>
        <v>0</v>
      </c>
      <c r="W57" s="162"/>
      <c r="X57" s="160"/>
      <c r="Y57" s="172">
        <f t="shared" si="5"/>
        <v>0</v>
      </c>
      <c r="Z57" s="172">
        <f t="shared" si="6"/>
        <v>0</v>
      </c>
      <c r="AA57" s="172">
        <f t="shared" si="7"/>
        <v>0</v>
      </c>
      <c r="AB57" s="112"/>
      <c r="AC57" s="112"/>
      <c r="AD57" s="103"/>
      <c r="AE57" s="103"/>
      <c r="AF57" s="5"/>
    </row>
    <row r="58" spans="1:32" ht="32.1" customHeight="1">
      <c r="A58" s="156"/>
      <c r="B58" s="157"/>
      <c r="C58" s="163">
        <f>COUNT(C53)-COUNTIFS(C53,"&gt;15",C53,"&lt;35")</f>
        <v>0</v>
      </c>
      <c r="D58" s="163">
        <f>COUNT(D53)-COUNTIFS(D53,"&gt;15",D53,"&lt;35")</f>
        <v>0</v>
      </c>
      <c r="E58" s="163">
        <f>COUNT(E53)-COUNTIFS(E53,"&gt;6.5",E53,"&lt;9")</f>
        <v>0</v>
      </c>
      <c r="F58" s="163">
        <f>COUNT(F53)-COUNTIFS(F53,"&gt;6.5",F53,"&lt;9")</f>
        <v>0</v>
      </c>
      <c r="G58" s="163">
        <f>COUNT(G53)-COUNTIF(G53,G13)</f>
        <v>0</v>
      </c>
      <c r="H58" s="163">
        <f>COUNT(H53)-COUNTIF(H53,H13)</f>
        <v>0</v>
      </c>
      <c r="I58" s="163">
        <f>COUNT(I53)-COUNTIF(I53,I13)</f>
        <v>0</v>
      </c>
      <c r="J58" s="163">
        <f>COUNT(J53)-COUNTIF(J53,J13)</f>
        <v>0</v>
      </c>
      <c r="K58" s="163">
        <f>COUNT(K53)-COUNTIF(K53,K13)</f>
        <v>0</v>
      </c>
      <c r="L58" s="163"/>
      <c r="M58" s="163"/>
      <c r="N58" s="163">
        <f t="shared" ref="N58:V58" si="9">COUNT(N53)-COUNTIF(N53,N13)</f>
        <v>0</v>
      </c>
      <c r="O58" s="163">
        <f t="shared" si="9"/>
        <v>0</v>
      </c>
      <c r="P58" s="163">
        <f t="shared" si="9"/>
        <v>0</v>
      </c>
      <c r="Q58" s="163">
        <f t="shared" si="9"/>
        <v>0</v>
      </c>
      <c r="R58" s="163">
        <f t="shared" si="9"/>
        <v>0</v>
      </c>
      <c r="S58" s="163">
        <f t="shared" si="9"/>
        <v>0</v>
      </c>
      <c r="T58" s="163">
        <f t="shared" si="9"/>
        <v>0</v>
      </c>
      <c r="U58" s="163">
        <f t="shared" si="9"/>
        <v>0</v>
      </c>
      <c r="V58" s="163">
        <f t="shared" si="9"/>
        <v>0</v>
      </c>
      <c r="W58" s="162"/>
      <c r="X58" s="160"/>
      <c r="Y58" s="172">
        <f t="shared" ref="Y58" si="10">MAX(T59,R59,P59,N59,J59,G59,E59,C59)</f>
        <v>0</v>
      </c>
      <c r="Z58" s="172">
        <f t="shared" ref="Z58" si="11">MAX(U59,S59,Q59,O59,K59,H59,F59,D59)</f>
        <v>0</v>
      </c>
      <c r="AA58" s="172"/>
      <c r="AB58" s="112"/>
      <c r="AC58" s="112"/>
      <c r="AD58" s="103"/>
      <c r="AE58" s="103"/>
      <c r="AF58" s="5"/>
    </row>
    <row r="59" spans="1:32" ht="23.4">
      <c r="A59" s="156"/>
      <c r="B59" s="157"/>
      <c r="C59" s="163"/>
      <c r="D59" s="163"/>
      <c r="E59" s="163"/>
      <c r="F59" s="163">
        <f>COUNT(F54)-COUNTIFS(F54,"&gt;6.5",F54,"&lt;9")</f>
        <v>0</v>
      </c>
      <c r="G59" s="163">
        <f>COUNT(G54)-COUNTIF(G54,G15)</f>
        <v>0</v>
      </c>
      <c r="H59" s="163">
        <f>COUNT(H54)-COUNTIF(H54,H15)</f>
        <v>0</v>
      </c>
      <c r="I59" s="163">
        <f>COUNT(I54)-COUNTIF(I54,I15)</f>
        <v>0</v>
      </c>
      <c r="J59" s="163">
        <f>COUNT(J54)-COUNTIF(J54,J15)</f>
        <v>0</v>
      </c>
      <c r="K59" s="163">
        <f>COUNT(K54)-COUNTIF(K54,K15)</f>
        <v>0</v>
      </c>
      <c r="L59" s="163"/>
      <c r="M59" s="163"/>
      <c r="N59" s="163">
        <f t="shared" ref="N59:V59" si="12">COUNT(N54)-COUNTIF(N54,N15)</f>
        <v>0</v>
      </c>
      <c r="O59" s="163">
        <f t="shared" si="12"/>
        <v>0</v>
      </c>
      <c r="P59" s="163">
        <f t="shared" si="12"/>
        <v>0</v>
      </c>
      <c r="Q59" s="163">
        <f t="shared" si="12"/>
        <v>0</v>
      </c>
      <c r="R59" s="163">
        <f t="shared" si="12"/>
        <v>0</v>
      </c>
      <c r="S59" s="163">
        <f t="shared" si="12"/>
        <v>0</v>
      </c>
      <c r="T59" s="163">
        <f t="shared" si="12"/>
        <v>0</v>
      </c>
      <c r="U59" s="163">
        <f t="shared" si="12"/>
        <v>0</v>
      </c>
      <c r="V59" s="163">
        <f t="shared" si="12"/>
        <v>0</v>
      </c>
      <c r="W59" s="162"/>
      <c r="X59" s="112"/>
      <c r="Y59" s="143"/>
      <c r="Z59" s="143"/>
      <c r="AA59" s="143"/>
      <c r="AB59" s="112"/>
      <c r="AC59" s="112"/>
    </row>
    <row r="60" spans="1:32" ht="23.4">
      <c r="A60" s="152"/>
      <c r="B60" s="152"/>
      <c r="C60" s="102"/>
      <c r="D60" s="149"/>
      <c r="E60" s="149"/>
      <c r="F60" s="149"/>
      <c r="G60" s="149"/>
      <c r="H60" s="149"/>
      <c r="I60" s="150"/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58" t="s">
        <v>78</v>
      </c>
      <c r="U60" s="154"/>
      <c r="V60" s="155"/>
      <c r="W60" s="151"/>
      <c r="X60" s="112"/>
      <c r="Y60" s="143"/>
      <c r="Z60" s="143"/>
      <c r="AA60" s="143"/>
      <c r="AB60" s="112"/>
      <c r="AC60" s="112"/>
    </row>
    <row r="61" spans="1:32" ht="23.4">
      <c r="A61" s="149"/>
      <c r="B61" s="149"/>
      <c r="C61" s="149"/>
      <c r="D61" s="149"/>
      <c r="E61" s="149"/>
      <c r="F61" s="149"/>
      <c r="G61" s="149"/>
      <c r="H61" s="149"/>
      <c r="I61" s="151"/>
      <c r="J61" s="151"/>
      <c r="K61" s="151"/>
      <c r="L61" s="151"/>
      <c r="M61" s="151"/>
      <c r="N61" s="151"/>
      <c r="O61" s="151"/>
      <c r="P61" s="153"/>
      <c r="Q61" s="151"/>
      <c r="R61" s="151"/>
      <c r="S61" s="151"/>
      <c r="T61" s="151"/>
      <c r="U61" s="151"/>
      <c r="V61" s="151"/>
      <c r="W61" s="151"/>
      <c r="X61" s="112"/>
      <c r="Y61" s="112"/>
      <c r="Z61" s="112"/>
      <c r="AA61" s="112"/>
      <c r="AB61" s="112"/>
      <c r="AC61" s="112"/>
    </row>
    <row r="62" spans="1:32" ht="23.4">
      <c r="A62" s="149"/>
      <c r="B62" s="149"/>
      <c r="C62" s="149"/>
      <c r="D62" s="149"/>
      <c r="E62" s="149"/>
      <c r="F62" s="149"/>
      <c r="G62" s="149"/>
      <c r="H62" s="149"/>
      <c r="I62" s="151"/>
      <c r="J62" s="151"/>
      <c r="K62" s="151"/>
      <c r="L62" s="151"/>
      <c r="M62" s="151"/>
      <c r="N62" s="151"/>
      <c r="O62" s="151"/>
      <c r="P62" s="151"/>
      <c r="Q62" s="151"/>
      <c r="R62" s="151"/>
      <c r="S62" s="151"/>
      <c r="T62" s="151"/>
      <c r="U62" s="151"/>
      <c r="V62" s="151"/>
      <c r="W62" s="151"/>
      <c r="X62" s="112"/>
      <c r="Y62" s="112"/>
      <c r="Z62" s="112"/>
      <c r="AA62" s="112"/>
      <c r="AB62" s="112"/>
      <c r="AC62" s="112"/>
    </row>
    <row r="63" spans="1:32" ht="23.4">
      <c r="A63" s="149"/>
      <c r="B63" s="149"/>
      <c r="C63" s="149"/>
      <c r="D63" s="149"/>
      <c r="E63" s="149"/>
      <c r="F63" s="149"/>
      <c r="G63" s="149"/>
      <c r="H63" s="149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</row>
    <row r="64" spans="1:32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</row>
    <row r="65" spans="1:23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</row>
    <row r="66" spans="1:23">
      <c r="A66" s="103"/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</row>
    <row r="67" spans="1:23">
      <c r="A67" s="103"/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</row>
  </sheetData>
  <sheetProtection algorithmName="SHA-512" hashValue="3MIU2uYJEqCjc/8ahq5aY1Xrgue3J0xxMIFFeNtM8gbnEBsgiT63w5EhKUkxfvAY/ow0H7uDBX1XctjMWoKLCw==" saltValue="CrWwyu+Lt6Chvl/3AKw+Hw==" spinCount="100000" sheet="1" formatCells="0" formatColumns="0" formatRows="0" insertHyperlinks="0"/>
  <mergeCells count="23">
    <mergeCell ref="T50:U50"/>
    <mergeCell ref="J50:K50"/>
    <mergeCell ref="L50:M50"/>
    <mergeCell ref="N50:O50"/>
    <mergeCell ref="P50:Q50"/>
    <mergeCell ref="R50:S50"/>
    <mergeCell ref="A50:A51"/>
    <mergeCell ref="C50:D50"/>
    <mergeCell ref="E50:F50"/>
    <mergeCell ref="G50:H50"/>
    <mergeCell ref="R11:S11"/>
    <mergeCell ref="T11:U11"/>
    <mergeCell ref="A48:B48"/>
    <mergeCell ref="E10:P10"/>
    <mergeCell ref="A11:A12"/>
    <mergeCell ref="B11:B12"/>
    <mergeCell ref="C11:D11"/>
    <mergeCell ref="E11:F11"/>
    <mergeCell ref="G11:H11"/>
    <mergeCell ref="J11:K11"/>
    <mergeCell ref="L11:M11"/>
    <mergeCell ref="N11:O11"/>
    <mergeCell ref="P11:Q11"/>
  </mergeCells>
  <conditionalFormatting sqref="C18:D18 F15 C20:D34 C14:C44">
    <cfRule type="iconSet" priority="530">
      <iconSet iconSet="3Arrows">
        <cfvo type="percent" val="0"/>
        <cfvo type="num" val="0" gte="0"/>
        <cfvo type="num" val="43"/>
      </iconSet>
    </cfRule>
  </conditionalFormatting>
  <conditionalFormatting sqref="C19:D19">
    <cfRule type="iconSet" priority="124">
      <iconSet iconSet="3Arrows">
        <cfvo type="percent" val="0"/>
        <cfvo type="num" val="0" gte="0"/>
        <cfvo type="num" val="43"/>
      </iconSet>
    </cfRule>
  </conditionalFormatting>
  <conditionalFormatting sqref="C35:D44">
    <cfRule type="iconSet" priority="566">
      <iconSet iconSet="3Arrows">
        <cfvo type="percent" val="0"/>
        <cfvo type="num" val="0" gte="0"/>
        <cfvo type="num" val="43"/>
      </iconSet>
    </cfRule>
  </conditionalFormatting>
  <conditionalFormatting sqref="C52:D52">
    <cfRule type="iconSet" priority="57">
      <iconSet iconSet="3Arrows">
        <cfvo type="percent" val="0"/>
        <cfvo type="num" val="0" gte="0"/>
        <cfvo type="num" val="43"/>
      </iconSet>
    </cfRule>
  </conditionalFormatting>
  <conditionalFormatting sqref="C53:D56">
    <cfRule type="iconSet" priority="17">
      <iconSet iconSet="3Arrows">
        <cfvo type="percent" val="0"/>
        <cfvo type="num" val="0" gte="0"/>
        <cfvo type="num" val="43"/>
      </iconSet>
    </cfRule>
  </conditionalFormatting>
  <conditionalFormatting sqref="D14:D44">
    <cfRule type="iconSet" priority="459">
      <iconSet iconSet="3Arrows">
        <cfvo type="percent" val="0"/>
        <cfvo type="num" val="0" gte="0"/>
        <cfvo type="num" val="43"/>
      </iconSet>
    </cfRule>
  </conditionalFormatting>
  <conditionalFormatting sqref="E14:E44">
    <cfRule type="iconSet" priority="534">
      <iconSet iconSet="3Arrows">
        <cfvo type="percent" val="0"/>
        <cfvo type="num" val="6"/>
        <cfvo type="num" val="9.5"/>
      </iconSet>
    </cfRule>
  </conditionalFormatting>
  <conditionalFormatting sqref="E19">
    <cfRule type="iconSet" priority="123">
      <iconSet iconSet="3Arrows">
        <cfvo type="percent" val="0"/>
        <cfvo type="num" val="6"/>
        <cfvo type="num" val="9.5"/>
      </iconSet>
    </cfRule>
  </conditionalFormatting>
  <conditionalFormatting sqref="E35:E44">
    <cfRule type="iconSet" priority="568">
      <iconSet iconSet="3Arrows">
        <cfvo type="percent" val="0"/>
        <cfvo type="num" val="6"/>
        <cfvo type="num" val="9.5"/>
      </iconSet>
    </cfRule>
  </conditionalFormatting>
  <conditionalFormatting sqref="E52">
    <cfRule type="iconSet" priority="58">
      <iconSet iconSet="3Arrows">
        <cfvo type="percent" val="0"/>
        <cfvo type="num" val="6"/>
        <cfvo type="num" val="9.5"/>
      </iconSet>
    </cfRule>
  </conditionalFormatting>
  <conditionalFormatting sqref="E53:E56">
    <cfRule type="iconSet" priority="18">
      <iconSet iconSet="3Arrows">
        <cfvo type="percent" val="0"/>
        <cfvo type="num" val="6"/>
        <cfvo type="num" val="9.5"/>
      </iconSet>
    </cfRule>
  </conditionalFormatting>
  <conditionalFormatting sqref="F14:F44">
    <cfRule type="iconSet" priority="536">
      <iconSet iconSet="3Arrows">
        <cfvo type="percent" val="0"/>
        <cfvo type="num" val="6.5"/>
        <cfvo type="num" val="9"/>
      </iconSet>
    </cfRule>
  </conditionalFormatting>
  <conditionalFormatting sqref="F19">
    <cfRule type="iconSet" priority="122">
      <iconSet iconSet="3Arrows">
        <cfvo type="percent" val="0"/>
        <cfvo type="num" val="6.5"/>
        <cfvo type="num" val="9"/>
      </iconSet>
    </cfRule>
  </conditionalFormatting>
  <conditionalFormatting sqref="F44">
    <cfRule type="iconSet" priority="570">
      <iconSet iconSet="3Arrows">
        <cfvo type="percent" val="0"/>
        <cfvo type="num" val="6.5"/>
        <cfvo type="num" val="9"/>
      </iconSet>
    </cfRule>
  </conditionalFormatting>
  <conditionalFormatting sqref="F52">
    <cfRule type="iconSet" priority="59">
      <iconSet iconSet="3Arrows">
        <cfvo type="percent" val="0"/>
        <cfvo type="num" val="6.5"/>
        <cfvo type="num" val="9"/>
      </iconSet>
    </cfRule>
  </conditionalFormatting>
  <conditionalFormatting sqref="F53:F56">
    <cfRule type="iconSet" priority="19">
      <iconSet iconSet="3Arrows">
        <cfvo type="percent" val="0"/>
        <cfvo type="num" val="6.5"/>
        <cfvo type="num" val="9"/>
      </iconSet>
    </cfRule>
  </conditionalFormatting>
  <conditionalFormatting sqref="G14:G44">
    <cfRule type="cellIs" dxfId="113" priority="121" operator="greaterThan">
      <formula>10</formula>
    </cfRule>
  </conditionalFormatting>
  <conditionalFormatting sqref="G52:G56">
    <cfRule type="cellIs" dxfId="112" priority="11" operator="greaterThan">
      <formula>10</formula>
    </cfRule>
  </conditionalFormatting>
  <conditionalFormatting sqref="H14:H44">
    <cfRule type="cellIs" dxfId="111" priority="126" stopIfTrue="1" operator="greaterThan">
      <formula>1</formula>
    </cfRule>
  </conditionalFormatting>
  <conditionalFormatting sqref="H52:H56">
    <cfRule type="cellIs" dxfId="110" priority="13" stopIfTrue="1" operator="greaterThan">
      <formula>1</formula>
    </cfRule>
  </conditionalFormatting>
  <conditionalFormatting sqref="I14:I44">
    <cfRule type="cellIs" dxfId="109" priority="127" stopIfTrue="1" operator="between">
      <formula>4</formula>
      <formula>0.1</formula>
    </cfRule>
  </conditionalFormatting>
  <conditionalFormatting sqref="I52:I56">
    <cfRule type="cellIs" dxfId="108" priority="14" stopIfTrue="1" operator="between">
      <formula>4</formula>
      <formula>0.1</formula>
    </cfRule>
  </conditionalFormatting>
  <conditionalFormatting sqref="J14:J44">
    <cfRule type="cellIs" dxfId="107" priority="131" operator="greaterThan">
      <formula>2000</formula>
    </cfRule>
    <cfRule type="cellIs" dxfId="106" priority="132" operator="greaterThan">
      <formula>2000</formula>
    </cfRule>
  </conditionalFormatting>
  <conditionalFormatting sqref="J19">
    <cfRule type="cellIs" dxfId="105" priority="113" operator="greaterThan">
      <formula>2000</formula>
    </cfRule>
    <cfRule type="cellIs" dxfId="104" priority="114" operator="greaterThan">
      <formula>2000</formula>
    </cfRule>
  </conditionalFormatting>
  <conditionalFormatting sqref="J20:J44">
    <cfRule type="cellIs" dxfId="103" priority="158" operator="greaterThan">
      <formula>2000</formula>
    </cfRule>
  </conditionalFormatting>
  <conditionalFormatting sqref="J52:J56">
    <cfRule type="cellIs" dxfId="102" priority="6" operator="greaterThan">
      <formula>2000</formula>
    </cfRule>
  </conditionalFormatting>
  <conditionalFormatting sqref="J20:K44">
    <cfRule type="cellIs" dxfId="101" priority="203" operator="greaterThan">
      <formula>2000</formula>
    </cfRule>
  </conditionalFormatting>
  <conditionalFormatting sqref="J52:K56">
    <cfRule type="cellIs" dxfId="100" priority="10" operator="greaterThan">
      <formula>2000</formula>
    </cfRule>
  </conditionalFormatting>
  <conditionalFormatting sqref="K14:K44">
    <cfRule type="cellIs" dxfId="99" priority="120" operator="greaterThan">
      <formula>2000</formula>
    </cfRule>
  </conditionalFormatting>
  <conditionalFormatting sqref="N14:N44">
    <cfRule type="cellIs" dxfId="98" priority="100" operator="greaterThan">
      <formula>800</formula>
    </cfRule>
  </conditionalFormatting>
  <conditionalFormatting sqref="N52:N56">
    <cfRule type="cellIs" dxfId="97" priority="9" operator="greaterThan">
      <formula>800</formula>
    </cfRule>
  </conditionalFormatting>
  <conditionalFormatting sqref="O14:O44">
    <cfRule type="cellIs" dxfId="96" priority="102" stopIfTrue="1" operator="greaterThanOrEqual">
      <formula>50</formula>
    </cfRule>
  </conditionalFormatting>
  <conditionalFormatting sqref="O52:O56">
    <cfRule type="cellIs" dxfId="95" priority="4" stopIfTrue="1" operator="greaterThanOrEqual">
      <formula>50</formula>
    </cfRule>
  </conditionalFormatting>
  <conditionalFormatting sqref="P14:P44">
    <cfRule type="cellIs" dxfId="94" priority="99" operator="greaterThan">
      <formula>1100</formula>
    </cfRule>
  </conditionalFormatting>
  <conditionalFormatting sqref="P52:P56">
    <cfRule type="cellIs" dxfId="93" priority="8" operator="greaterThan">
      <formula>1100</formula>
    </cfRule>
  </conditionalFormatting>
  <conditionalFormatting sqref="Q14:Q44">
    <cfRule type="cellIs" dxfId="92" priority="103" stopIfTrue="1" operator="greaterThanOrEqual">
      <formula>80</formula>
    </cfRule>
  </conditionalFormatting>
  <conditionalFormatting sqref="Q52:Q56">
    <cfRule type="cellIs" dxfId="91" priority="16" stopIfTrue="1" operator="greaterThanOrEqual">
      <formula>80</formula>
    </cfRule>
  </conditionalFormatting>
  <conditionalFormatting sqref="R14:R44">
    <cfRule type="cellIs" dxfId="90" priority="98" operator="greaterThan">
      <formula>600</formula>
    </cfRule>
  </conditionalFormatting>
  <conditionalFormatting sqref="R52:R56">
    <cfRule type="cellIs" dxfId="89" priority="7" operator="greaterThan">
      <formula>600</formula>
    </cfRule>
  </conditionalFormatting>
  <conditionalFormatting sqref="S14:S44">
    <cfRule type="cellIs" dxfId="88" priority="101" stopIfTrue="1" operator="greaterThanOrEqual">
      <formula>60</formula>
    </cfRule>
  </conditionalFormatting>
  <conditionalFormatting sqref="S52:S56">
    <cfRule type="cellIs" dxfId="87" priority="12" stopIfTrue="1" operator="greaterThanOrEqual">
      <formula>60</formula>
    </cfRule>
  </conditionalFormatting>
  <conditionalFormatting sqref="T14:T44">
    <cfRule type="cellIs" dxfId="86" priority="105" operator="greaterThan">
      <formula>100</formula>
    </cfRule>
  </conditionalFormatting>
  <conditionalFormatting sqref="T53:U56">
    <cfRule type="iconSet" priority="5">
      <iconSet iconSet="3Arrows">
        <cfvo type="percent" val="0"/>
        <cfvo type="num" val="0" gte="0"/>
        <cfvo type="num" val="43"/>
      </iconSet>
    </cfRule>
  </conditionalFormatting>
  <conditionalFormatting sqref="T52:V52">
    <cfRule type="iconSet" priority="20">
      <iconSet iconSet="3Arrows">
        <cfvo type="percent" val="0"/>
        <cfvo type="num" val="0" gte="0"/>
        <cfvo type="num" val="43"/>
      </iconSet>
    </cfRule>
  </conditionalFormatting>
  <conditionalFormatting sqref="U14:U44">
    <cfRule type="cellIs" dxfId="85" priority="104" operator="greaterThan">
      <formula>10</formula>
    </cfRule>
  </conditionalFormatting>
  <conditionalFormatting sqref="V13">
    <cfRule type="cellIs" dxfId="84" priority="1" stopIfTrue="1" operator="greaterThanOrEqual">
      <formula>5000</formula>
    </cfRule>
  </conditionalFormatting>
  <conditionalFormatting sqref="V53:V55">
    <cfRule type="iconSet" priority="3">
      <iconSet iconSet="3Arrows">
        <cfvo type="percent" val="0"/>
        <cfvo type="num" val="0" gte="0"/>
        <cfvo type="num" val="43"/>
      </iconSet>
    </cfRule>
  </conditionalFormatting>
  <conditionalFormatting sqref="V56">
    <cfRule type="iconSet" priority="2">
      <iconSet iconSet="3Arrows">
        <cfvo type="percent" val="0"/>
        <cfvo type="num" val="0" gte="0"/>
        <cfvo type="num" val="43"/>
      </iconSet>
    </cfRule>
  </conditionalFormatting>
  <pageMargins left="0.70866141732283472" right="0.70866141732283472" top="0.74803149606299213" bottom="0.74803149606299213" header="0.31496062992125984" footer="0.31496062992125984"/>
  <pageSetup paperSize="9" scale="31" orientation="landscape" r:id="rId1"/>
  <colBreaks count="1" manualBreakCount="1">
    <brk id="23" max="49" man="1"/>
  </colBreaks>
  <ignoredErrors>
    <ignoredError sqref="C47" formulaRange="1"/>
  </ignoredErrors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E44"/>
  <sheetViews>
    <sheetView rightToLeft="1" zoomScale="89" zoomScaleNormal="89" workbookViewId="0">
      <selection activeCell="S9" sqref="S9"/>
    </sheetView>
  </sheetViews>
  <sheetFormatPr defaultColWidth="9" defaultRowHeight="13.2"/>
  <cols>
    <col min="1" max="1" width="20.88671875" style="13" customWidth="1"/>
    <col min="2" max="2" width="5.6640625" style="13" customWidth="1"/>
    <col min="3" max="3" width="6.109375" style="13" bestFit="1" customWidth="1"/>
    <col min="4" max="4" width="11.33203125" style="13" bestFit="1" customWidth="1"/>
    <col min="5" max="5" width="10.44140625" style="13" bestFit="1" customWidth="1"/>
    <col min="6" max="6" width="10.88671875" style="13" bestFit="1" customWidth="1"/>
    <col min="7" max="7" width="6.5546875" style="13" customWidth="1"/>
    <col min="8" max="8" width="6.33203125" style="13" bestFit="1" customWidth="1"/>
    <col min="9" max="10" width="9.44140625" style="13" bestFit="1" customWidth="1"/>
    <col min="11" max="11" width="11.5546875" style="13" bestFit="1" customWidth="1"/>
    <col min="12" max="12" width="7.5546875" style="13" bestFit="1" customWidth="1"/>
    <col min="13" max="13" width="9.44140625" style="13" bestFit="1" customWidth="1"/>
    <col min="14" max="14" width="9" style="13" bestFit="1" customWidth="1"/>
    <col min="15" max="15" width="8.44140625" style="13" bestFit="1" customWidth="1"/>
    <col min="16" max="16" width="7.5546875" style="13" bestFit="1" customWidth="1"/>
    <col min="17" max="17" width="9" style="13" bestFit="1" customWidth="1"/>
    <col min="18" max="18" width="7.5546875" style="13" bestFit="1" customWidth="1"/>
    <col min="19" max="19" width="8.44140625" style="13" bestFit="1" customWidth="1"/>
    <col min="20" max="20" width="9" style="13" bestFit="1" customWidth="1"/>
    <col min="21" max="21" width="7.5546875" style="13" bestFit="1" customWidth="1"/>
    <col min="22" max="22" width="11.5546875" style="13" bestFit="1" customWidth="1"/>
    <col min="23" max="16384" width="9" style="13"/>
  </cols>
  <sheetData>
    <row r="1" spans="1:22" ht="17.25" customHeight="1">
      <c r="A1" s="11" t="s">
        <v>75</v>
      </c>
      <c r="B1" s="11"/>
      <c r="C1" s="11"/>
      <c r="D1" s="11"/>
      <c r="E1" s="12"/>
    </row>
    <row r="2" spans="1:22" ht="16.5" customHeight="1">
      <c r="A2" s="11" t="s">
        <v>74</v>
      </c>
      <c r="B2" s="11"/>
      <c r="C2" s="11"/>
      <c r="D2" s="14"/>
      <c r="E2" s="15"/>
      <c r="F2" s="16"/>
      <c r="G2" s="17"/>
      <c r="H2" s="16"/>
      <c r="I2" s="16"/>
      <c r="J2" s="16"/>
      <c r="K2" s="16"/>
    </row>
    <row r="3" spans="1:22" ht="15" customHeight="1">
      <c r="A3" s="14" t="s">
        <v>73</v>
      </c>
      <c r="B3" s="14"/>
      <c r="C3" s="14"/>
      <c r="D3" s="14"/>
      <c r="E3" s="15"/>
      <c r="F3" s="16"/>
      <c r="G3" s="17"/>
      <c r="H3" s="16"/>
      <c r="I3" s="16"/>
      <c r="J3" s="16"/>
      <c r="K3" s="16"/>
    </row>
    <row r="4" spans="1:22" ht="16.5" customHeight="1">
      <c r="A4" s="14"/>
      <c r="B4" s="14"/>
      <c r="C4" s="14"/>
      <c r="D4" s="14"/>
      <c r="E4" s="18"/>
      <c r="F4" s="16"/>
      <c r="G4" s="17"/>
      <c r="H4" s="16"/>
      <c r="I4" s="16"/>
      <c r="J4" s="16"/>
      <c r="K4" s="16"/>
    </row>
    <row r="5" spans="1:22" s="20" customFormat="1" ht="32.25" customHeight="1" thickBot="1">
      <c r="A5" s="237" t="s">
        <v>84</v>
      </c>
      <c r="B5" s="237"/>
      <c r="C5" s="237"/>
      <c r="D5" s="237"/>
      <c r="E5" s="237"/>
      <c r="F5" s="237"/>
      <c r="G5" s="237"/>
      <c r="H5" s="237"/>
      <c r="I5" s="237"/>
      <c r="J5" s="237"/>
      <c r="K5" s="237"/>
      <c r="L5" s="237"/>
      <c r="M5" s="237"/>
      <c r="N5" s="237"/>
      <c r="O5" s="237"/>
      <c r="P5" s="58">
        <f>Main!Q10</f>
        <v>0</v>
      </c>
      <c r="Q5" s="59">
        <f>'تقرير المواد الصلبة'!J10</f>
        <v>0</v>
      </c>
      <c r="S5" s="59" t="str">
        <f>IFERROR(#REF!,"")</f>
        <v/>
      </c>
      <c r="T5" s="59" t="str">
        <f>IFERROR(#REF!,"")</f>
        <v/>
      </c>
    </row>
    <row r="6" spans="1:22" s="23" customFormat="1" ht="27" customHeight="1" thickBot="1">
      <c r="A6" s="21"/>
      <c r="B6" s="20"/>
      <c r="C6" s="20"/>
      <c r="D6" s="20"/>
      <c r="E6" s="20"/>
      <c r="F6" s="20"/>
      <c r="G6" s="220" t="s">
        <v>72</v>
      </c>
      <c r="H6" s="221"/>
      <c r="I6" s="221"/>
      <c r="J6" s="221"/>
      <c r="K6" s="222"/>
      <c r="L6" s="223" t="s">
        <v>33</v>
      </c>
      <c r="M6" s="224"/>
      <c r="N6" s="224"/>
      <c r="O6" s="224"/>
      <c r="P6" s="224"/>
      <c r="Q6" s="224"/>
      <c r="R6" s="224"/>
      <c r="S6" s="224"/>
      <c r="T6" s="224"/>
      <c r="U6" s="224"/>
      <c r="V6" s="225"/>
    </row>
    <row r="7" spans="1:22" ht="24.75" customHeight="1" thickBot="1">
      <c r="A7" s="245" t="s">
        <v>4</v>
      </c>
      <c r="B7" s="245" t="s">
        <v>71</v>
      </c>
      <c r="C7" s="247"/>
      <c r="D7" s="249" t="s">
        <v>70</v>
      </c>
      <c r="E7" s="60" t="s">
        <v>69</v>
      </c>
      <c r="F7" s="61" t="s">
        <v>68</v>
      </c>
      <c r="G7" s="228" t="s">
        <v>67</v>
      </c>
      <c r="H7" s="229"/>
      <c r="I7" s="230"/>
      <c r="J7" s="231" t="s">
        <v>64</v>
      </c>
      <c r="K7" s="232"/>
      <c r="L7" s="239" t="s">
        <v>67</v>
      </c>
      <c r="M7" s="240"/>
      <c r="N7" s="241"/>
      <c r="O7" s="242" t="s">
        <v>66</v>
      </c>
      <c r="P7" s="240"/>
      <c r="Q7" s="241"/>
      <c r="R7" s="242" t="s">
        <v>65</v>
      </c>
      <c r="S7" s="240"/>
      <c r="T7" s="241"/>
      <c r="U7" s="218" t="s">
        <v>64</v>
      </c>
      <c r="V7" s="219"/>
    </row>
    <row r="8" spans="1:22" ht="27" customHeight="1" thickBot="1">
      <c r="A8" s="246"/>
      <c r="B8" s="246"/>
      <c r="C8" s="248"/>
      <c r="D8" s="250"/>
      <c r="E8" s="62" t="s">
        <v>63</v>
      </c>
      <c r="F8" s="63" t="s">
        <v>63</v>
      </c>
      <c r="G8" s="64" t="s">
        <v>62</v>
      </c>
      <c r="H8" s="65" t="s">
        <v>61</v>
      </c>
      <c r="I8" s="66" t="s">
        <v>60</v>
      </c>
      <c r="J8" s="66" t="s">
        <v>59</v>
      </c>
      <c r="K8" s="66" t="s">
        <v>58</v>
      </c>
      <c r="L8" s="67" t="s">
        <v>62</v>
      </c>
      <c r="M8" s="66" t="s">
        <v>61</v>
      </c>
      <c r="N8" s="66" t="s">
        <v>60</v>
      </c>
      <c r="O8" s="66" t="s">
        <v>62</v>
      </c>
      <c r="P8" s="66" t="s">
        <v>61</v>
      </c>
      <c r="Q8" s="66" t="s">
        <v>60</v>
      </c>
      <c r="R8" s="66" t="s">
        <v>62</v>
      </c>
      <c r="S8" s="66" t="s">
        <v>61</v>
      </c>
      <c r="T8" s="66" t="s">
        <v>60</v>
      </c>
      <c r="U8" s="66" t="s">
        <v>59</v>
      </c>
      <c r="V8" s="68" t="s">
        <v>58</v>
      </c>
    </row>
    <row r="9" spans="1:22" ht="32.25" customHeight="1" thickBot="1">
      <c r="A9" s="101">
        <f>DATE(Q5,P5+1,)</f>
        <v>0</v>
      </c>
      <c r="B9" s="233" t="s">
        <v>76</v>
      </c>
      <c r="C9" s="233"/>
      <c r="D9" s="69" t="s">
        <v>77</v>
      </c>
      <c r="E9" s="70">
        <v>15000</v>
      </c>
      <c r="F9" s="71">
        <v>14500</v>
      </c>
      <c r="G9" s="72">
        <f>IFERROR(COUNT(Main!$C$15:$C$44),"")</f>
        <v>0</v>
      </c>
      <c r="H9" s="73">
        <f>IFERROR(G9-I9,"")</f>
        <v>0</v>
      </c>
      <c r="I9" s="73">
        <f>IFERROR(Main!$Y$47,"")</f>
        <v>0</v>
      </c>
      <c r="J9" s="74" t="str">
        <f>IFERROR($H$9/$G$9,"")</f>
        <v/>
      </c>
      <c r="K9" s="74" t="str">
        <f>IFERROR($I$9/$G$9,"")</f>
        <v/>
      </c>
      <c r="L9" s="72">
        <f>IFERROR(COUNT(Main!$D$15:$D$44),"")</f>
        <v>0</v>
      </c>
      <c r="M9" s="72">
        <f>IFERROR(L9-N9,"")</f>
        <v>0</v>
      </c>
      <c r="N9" s="72">
        <f>IFERROR(Main!$Z$47,"")</f>
        <v>0</v>
      </c>
      <c r="O9" s="72">
        <f>IFERROR(COUNT(Main!$V$15:$V$44),"")</f>
        <v>0</v>
      </c>
      <c r="P9" s="72">
        <f>IFERROR(O9-Q9,"")</f>
        <v>0</v>
      </c>
      <c r="Q9" s="72">
        <f>IFERROR(Main!$AA$47,"")</f>
        <v>0</v>
      </c>
      <c r="R9" s="72">
        <f>IFERROR($L$9+$O$9,"")</f>
        <v>0</v>
      </c>
      <c r="S9" s="72">
        <f>IFERROR($M$9+$P$9,"")</f>
        <v>0</v>
      </c>
      <c r="T9" s="72">
        <f>IFERROR($N$9+$Q$9,"")</f>
        <v>0</v>
      </c>
      <c r="U9" s="74" t="str">
        <f>IFERROR($S$9/$R$9,"")</f>
        <v/>
      </c>
      <c r="V9" s="75" t="str">
        <f>IFERROR($T$9/$R$9,"")</f>
        <v/>
      </c>
    </row>
    <row r="10" spans="1:22" ht="32.25" customHeight="1" thickBot="1">
      <c r="A10" s="101">
        <f>A9</f>
        <v>0</v>
      </c>
      <c r="B10" s="211">
        <f>Main!B52</f>
        <v>0</v>
      </c>
      <c r="C10" s="212"/>
      <c r="D10" s="69" t="s">
        <v>102</v>
      </c>
      <c r="E10" s="70"/>
      <c r="F10" s="71"/>
      <c r="G10" s="72">
        <f>IFERROR(COUNT(Main!C52),"")</f>
        <v>0</v>
      </c>
      <c r="H10" s="73">
        <f t="shared" ref="H10:H11" si="0">IFERROR(G10-I10,"")</f>
        <v>0</v>
      </c>
      <c r="I10" s="73">
        <f>IFERROR(Main!Y56,"")</f>
        <v>0</v>
      </c>
      <c r="J10" s="74" t="str">
        <f>IFERROR(H10/G10,"")</f>
        <v/>
      </c>
      <c r="K10" s="74" t="str">
        <f>IFERROR(I10/G10,"")</f>
        <v/>
      </c>
      <c r="L10" s="72">
        <f>IFERROR(COUNT(Main!D52),"")</f>
        <v>0</v>
      </c>
      <c r="M10" s="72">
        <f t="shared" ref="M10:M11" si="1">IFERROR(L10-N10,"")</f>
        <v>0</v>
      </c>
      <c r="N10" s="72">
        <f>IFERROR(Main!Z56,"")</f>
        <v>0</v>
      </c>
      <c r="O10" s="72">
        <f>IFERROR(COUNT(Main!V52),"")</f>
        <v>0</v>
      </c>
      <c r="P10" s="72">
        <f t="shared" ref="P10:P14" si="2">IFERROR(O10-Q10,"")</f>
        <v>0</v>
      </c>
      <c r="Q10" s="72">
        <f>IFERROR(Main!AA56,"")</f>
        <v>0</v>
      </c>
      <c r="R10" s="72">
        <f t="shared" ref="R10:T11" si="3">IFERROR(L10+O10,"")</f>
        <v>0</v>
      </c>
      <c r="S10" s="72">
        <f t="shared" si="3"/>
        <v>0</v>
      </c>
      <c r="T10" s="72">
        <f t="shared" si="3"/>
        <v>0</v>
      </c>
      <c r="U10" s="74" t="str">
        <f>IFERROR(S10/R10,"")</f>
        <v/>
      </c>
      <c r="V10" s="75" t="str">
        <f>IFERROR(T10/R10,"")</f>
        <v/>
      </c>
    </row>
    <row r="11" spans="1:22" ht="32.25" customHeight="1" thickBot="1">
      <c r="A11" s="101">
        <f>A10</f>
        <v>0</v>
      </c>
      <c r="B11" s="211">
        <f>Main!B53</f>
        <v>0</v>
      </c>
      <c r="C11" s="212"/>
      <c r="D11" s="69" t="s">
        <v>103</v>
      </c>
      <c r="E11" s="70"/>
      <c r="F11" s="71"/>
      <c r="G11" s="72">
        <f>IFERROR(COUNT(Main!C53),"")</f>
        <v>0</v>
      </c>
      <c r="H11" s="73">
        <f t="shared" si="0"/>
        <v>0</v>
      </c>
      <c r="I11" s="73">
        <f>IFERROR(Main!Y57,"")</f>
        <v>0</v>
      </c>
      <c r="J11" s="74" t="str">
        <f>IFERROR(H11/G11,"")</f>
        <v/>
      </c>
      <c r="K11" s="74" t="str">
        <f>IFERROR(I11/G11,"")</f>
        <v/>
      </c>
      <c r="L11" s="72">
        <f>IFERROR(COUNT(Main!D53),"")</f>
        <v>0</v>
      </c>
      <c r="M11" s="72">
        <f t="shared" si="1"/>
        <v>0</v>
      </c>
      <c r="N11" s="72">
        <f>IFERROR(Main!Z57,"")</f>
        <v>0</v>
      </c>
      <c r="O11" s="72">
        <f>IFERROR(COUNT(Main!V53),"")</f>
        <v>0</v>
      </c>
      <c r="P11" s="72">
        <f t="shared" si="2"/>
        <v>0</v>
      </c>
      <c r="Q11" s="72">
        <f>IFERROR(Main!AA57,"")</f>
        <v>0</v>
      </c>
      <c r="R11" s="72">
        <f t="shared" si="3"/>
        <v>0</v>
      </c>
      <c r="S11" s="72">
        <f t="shared" si="3"/>
        <v>0</v>
      </c>
      <c r="T11" s="72">
        <f t="shared" si="3"/>
        <v>0</v>
      </c>
      <c r="U11" s="74" t="str">
        <f>IFERROR(S11/R11,"")</f>
        <v/>
      </c>
      <c r="V11" s="75" t="str">
        <f>IFERROR(T11/R11,"")</f>
        <v/>
      </c>
    </row>
    <row r="12" spans="1:22" ht="32.25" customHeight="1" thickBot="1">
      <c r="A12" s="101">
        <f>A11</f>
        <v>0</v>
      </c>
      <c r="B12" s="211">
        <f>Main!B54</f>
        <v>0</v>
      </c>
      <c r="C12" s="212"/>
      <c r="D12" s="69" t="s">
        <v>103</v>
      </c>
      <c r="E12" s="70"/>
      <c r="F12" s="71"/>
      <c r="G12" s="72">
        <f>IFERROR(COUNT(Main!C54),"")</f>
        <v>0</v>
      </c>
      <c r="H12" s="73">
        <f t="shared" ref="H12" si="4">IFERROR(G12-I12,"")</f>
        <v>0</v>
      </c>
      <c r="I12" s="73">
        <f>IFERROR(Main!Y58,"")</f>
        <v>0</v>
      </c>
      <c r="J12" s="74" t="str">
        <f>IFERROR(H12/G12,"")</f>
        <v/>
      </c>
      <c r="K12" s="74" t="str">
        <f>IFERROR(I12/G12,"")</f>
        <v/>
      </c>
      <c r="L12" s="72">
        <f>IFERROR(COUNT(Main!D54),"")</f>
        <v>0</v>
      </c>
      <c r="M12" s="72">
        <f t="shared" ref="M12" si="5">IFERROR(L12-N12,"")</f>
        <v>0</v>
      </c>
      <c r="N12" s="72">
        <f>IFERROR(Main!Z58,"")</f>
        <v>0</v>
      </c>
      <c r="O12" s="72">
        <f>IFERROR(COUNT(Main!V54),"")</f>
        <v>0</v>
      </c>
      <c r="P12" s="72">
        <f t="shared" ref="P12" si="6">IFERROR(O12-Q12,"")</f>
        <v>0</v>
      </c>
      <c r="Q12" s="72">
        <f>IFERROR(Main!AA59,"")</f>
        <v>0</v>
      </c>
      <c r="R12" s="72">
        <f t="shared" ref="R12" si="7">IFERROR(L12+O12,"")</f>
        <v>0</v>
      </c>
      <c r="S12" s="72">
        <f t="shared" ref="S12" si="8">IFERROR(M12+P12,"")</f>
        <v>0</v>
      </c>
      <c r="T12" s="72">
        <f t="shared" ref="T12" si="9">IFERROR(N12+Q12,"")</f>
        <v>0</v>
      </c>
      <c r="U12" s="74" t="str">
        <f>IFERROR(S12/R12,"")</f>
        <v/>
      </c>
      <c r="V12" s="75" t="str">
        <f>IFERROR(T12/R12,"")</f>
        <v/>
      </c>
    </row>
    <row r="13" spans="1:22" ht="32.25" customHeight="1" thickBot="1">
      <c r="A13" s="101">
        <f>A11</f>
        <v>0</v>
      </c>
      <c r="B13" s="211">
        <f>Main!B55</f>
        <v>0</v>
      </c>
      <c r="C13" s="212"/>
      <c r="D13" s="166"/>
      <c r="E13" s="167"/>
      <c r="F13" s="168"/>
      <c r="G13" s="169"/>
      <c r="H13" s="170"/>
      <c r="I13" s="170"/>
      <c r="J13" s="171"/>
      <c r="K13" s="171"/>
      <c r="L13" s="169"/>
      <c r="M13" s="169"/>
      <c r="N13" s="169"/>
      <c r="O13" s="72">
        <f>IFERROR(COUNT(Main!V55),"")</f>
        <v>0</v>
      </c>
      <c r="P13" s="72" t="str">
        <f t="shared" si="2"/>
        <v/>
      </c>
      <c r="Q13" s="72" t="str">
        <f>IFERROR(Main!Z54,"")</f>
        <v/>
      </c>
      <c r="R13" s="72">
        <f t="shared" ref="R13:R14" si="10">IFERROR(L13+O13,"")</f>
        <v>0</v>
      </c>
      <c r="S13" s="72" t="str">
        <f t="shared" ref="S13:S14" si="11">IFERROR(M13+P13,"")</f>
        <v/>
      </c>
      <c r="T13" s="72" t="str">
        <f t="shared" ref="T13:T14" si="12">IFERROR(N13+Q13,"")</f>
        <v/>
      </c>
      <c r="U13" s="74" t="str">
        <f t="shared" ref="U13:U14" si="13">IFERROR(S13/R13,"")</f>
        <v/>
      </c>
      <c r="V13" s="75" t="str">
        <f t="shared" ref="V13:V14" si="14">IFERROR(T13/R13,"")</f>
        <v/>
      </c>
    </row>
    <row r="14" spans="1:22" ht="32.25" customHeight="1" thickBot="1">
      <c r="A14" s="101">
        <f>A13</f>
        <v>0</v>
      </c>
      <c r="B14" s="211">
        <f>Main!B56</f>
        <v>0</v>
      </c>
      <c r="C14" s="212"/>
      <c r="D14" s="166"/>
      <c r="E14" s="167"/>
      <c r="F14" s="168"/>
      <c r="G14" s="169"/>
      <c r="H14" s="170"/>
      <c r="I14" s="170"/>
      <c r="J14" s="171"/>
      <c r="K14" s="171"/>
      <c r="L14" s="169"/>
      <c r="M14" s="169"/>
      <c r="N14" s="169"/>
      <c r="O14" s="72">
        <f>IFERROR(COUNT(Main!V56),"")</f>
        <v>0</v>
      </c>
      <c r="P14" s="72" t="str">
        <f t="shared" si="2"/>
        <v/>
      </c>
      <c r="Q14" s="72" t="str">
        <f>IFERROR(Main!Z55,"")</f>
        <v/>
      </c>
      <c r="R14" s="72">
        <f t="shared" si="10"/>
        <v>0</v>
      </c>
      <c r="S14" s="72" t="str">
        <f t="shared" si="11"/>
        <v/>
      </c>
      <c r="T14" s="72" t="str">
        <f t="shared" si="12"/>
        <v/>
      </c>
      <c r="U14" s="74" t="str">
        <f t="shared" si="13"/>
        <v/>
      </c>
      <c r="V14" s="75" t="str">
        <f t="shared" si="14"/>
        <v/>
      </c>
    </row>
    <row r="15" spans="1:22" ht="32.25" customHeight="1">
      <c r="A15" s="30"/>
      <c r="B15" s="31"/>
      <c r="C15" s="216" t="s">
        <v>57</v>
      </c>
      <c r="D15" s="216"/>
      <c r="E15" s="216"/>
      <c r="F15" s="216"/>
      <c r="G15" s="216"/>
      <c r="H15" s="216"/>
      <c r="I15" s="216"/>
      <c r="J15" s="216"/>
      <c r="K15" s="216"/>
      <c r="L15" s="216"/>
      <c r="M15" s="216"/>
      <c r="N15" s="216"/>
      <c r="O15" s="216"/>
      <c r="P15" s="216"/>
    </row>
    <row r="16" spans="1:22" ht="23.25" customHeight="1" thickBot="1">
      <c r="A16" s="30"/>
      <c r="B16" s="234"/>
      <c r="C16" s="234"/>
      <c r="D16" s="32"/>
      <c r="E16" s="33"/>
      <c r="F16" s="33"/>
      <c r="G16" s="35"/>
      <c r="H16" s="35"/>
      <c r="I16" s="35"/>
      <c r="J16" s="35"/>
      <c r="K16" s="35"/>
      <c r="N16" s="33"/>
    </row>
    <row r="17" spans="1:31" ht="35.25" customHeight="1" thickBot="1">
      <c r="A17" s="30"/>
      <c r="B17" s="235" t="s">
        <v>56</v>
      </c>
      <c r="C17" s="244"/>
      <c r="D17" s="235" t="s">
        <v>25</v>
      </c>
      <c r="E17" s="236"/>
      <c r="F17" s="213" t="s">
        <v>16</v>
      </c>
      <c r="G17" s="214"/>
      <c r="H17" s="76" t="s">
        <v>5</v>
      </c>
      <c r="I17" s="213" t="s">
        <v>17</v>
      </c>
      <c r="J17" s="214"/>
      <c r="K17" s="213" t="s">
        <v>19</v>
      </c>
      <c r="L17" s="214"/>
      <c r="M17" s="213" t="s">
        <v>20</v>
      </c>
      <c r="N17" s="214"/>
      <c r="O17" s="213" t="s">
        <v>21</v>
      </c>
      <c r="P17" s="214"/>
      <c r="Q17" s="213" t="s">
        <v>55</v>
      </c>
      <c r="R17" s="214"/>
      <c r="S17" s="77" t="s">
        <v>27</v>
      </c>
    </row>
    <row r="18" spans="1:31" ht="39.75" customHeight="1" thickBot="1">
      <c r="A18" s="30"/>
      <c r="B18" s="78" t="s">
        <v>15</v>
      </c>
      <c r="C18" s="79" t="s">
        <v>28</v>
      </c>
      <c r="D18" s="78" t="s">
        <v>15</v>
      </c>
      <c r="E18" s="80" t="s">
        <v>28</v>
      </c>
      <c r="F18" s="81" t="s">
        <v>15</v>
      </c>
      <c r="G18" s="79" t="s">
        <v>28</v>
      </c>
      <c r="H18" s="82" t="s">
        <v>28</v>
      </c>
      <c r="I18" s="81" t="s">
        <v>15</v>
      </c>
      <c r="J18" s="79" t="s">
        <v>28</v>
      </c>
      <c r="K18" s="78" t="s">
        <v>15</v>
      </c>
      <c r="L18" s="80" t="s">
        <v>28</v>
      </c>
      <c r="M18" s="81" t="s">
        <v>15</v>
      </c>
      <c r="N18" s="79" t="s">
        <v>28</v>
      </c>
      <c r="O18" s="78" t="s">
        <v>15</v>
      </c>
      <c r="P18" s="80" t="s">
        <v>28</v>
      </c>
      <c r="Q18" s="78" t="s">
        <v>15</v>
      </c>
      <c r="R18" s="83" t="s">
        <v>28</v>
      </c>
      <c r="S18" s="84" t="s">
        <v>28</v>
      </c>
    </row>
    <row r="19" spans="1:31" s="39" customFormat="1" ht="33.75" customHeight="1" thickBot="1">
      <c r="A19" s="36"/>
      <c r="B19" s="85">
        <v>43</v>
      </c>
      <c r="C19" s="85" t="s">
        <v>29</v>
      </c>
      <c r="D19" s="85" t="s">
        <v>54</v>
      </c>
      <c r="E19" s="85" t="s">
        <v>53</v>
      </c>
      <c r="F19" s="85" t="s">
        <v>45</v>
      </c>
      <c r="G19" s="85" t="s">
        <v>24</v>
      </c>
      <c r="H19" s="85" t="s">
        <v>30</v>
      </c>
      <c r="I19" s="85" t="s">
        <v>31</v>
      </c>
      <c r="J19" s="85" t="s">
        <v>31</v>
      </c>
      <c r="K19" s="85" t="s">
        <v>52</v>
      </c>
      <c r="L19" s="85" t="s">
        <v>51</v>
      </c>
      <c r="M19" s="85" t="s">
        <v>50</v>
      </c>
      <c r="N19" s="85" t="s">
        <v>49</v>
      </c>
      <c r="O19" s="85" t="s">
        <v>48</v>
      </c>
      <c r="P19" s="85" t="s">
        <v>47</v>
      </c>
      <c r="Q19" s="85" t="s">
        <v>46</v>
      </c>
      <c r="R19" s="85" t="s">
        <v>45</v>
      </c>
      <c r="S19" s="85" t="s">
        <v>44</v>
      </c>
      <c r="U19" s="38"/>
      <c r="V19" s="38"/>
      <c r="W19" s="37"/>
      <c r="X19" s="37"/>
      <c r="Y19" s="38"/>
      <c r="Z19" s="38"/>
      <c r="AA19" s="37"/>
      <c r="AB19" s="37"/>
      <c r="AC19" s="37"/>
      <c r="AD19" s="37"/>
      <c r="AE19" s="37"/>
    </row>
    <row r="20" spans="1:31" ht="16.5" customHeight="1">
      <c r="A20" s="30"/>
      <c r="B20" s="216"/>
      <c r="C20" s="216"/>
      <c r="D20" s="32"/>
      <c r="E20" s="33"/>
      <c r="F20" s="33"/>
      <c r="G20" s="34"/>
      <c r="H20" s="34"/>
      <c r="I20" s="34"/>
      <c r="J20" s="34"/>
      <c r="K20" s="34"/>
      <c r="N20" s="33"/>
    </row>
    <row r="21" spans="1:31" ht="16.5" customHeight="1">
      <c r="A21" s="30"/>
      <c r="B21" s="216"/>
      <c r="C21" s="216"/>
      <c r="D21" s="32"/>
      <c r="E21" s="33"/>
      <c r="F21" s="33"/>
      <c r="G21" s="34"/>
      <c r="H21" s="34"/>
      <c r="I21" s="34"/>
      <c r="J21" s="34"/>
      <c r="K21" s="34"/>
      <c r="N21" s="33"/>
      <c r="O21" s="227" t="s">
        <v>78</v>
      </c>
      <c r="P21" s="227"/>
      <c r="Q21" s="227"/>
      <c r="R21" s="227"/>
      <c r="S21" s="227"/>
      <c r="T21" s="227"/>
    </row>
    <row r="22" spans="1:31" ht="16.5" customHeight="1">
      <c r="A22" s="30"/>
      <c r="B22" s="216"/>
      <c r="C22" s="216"/>
      <c r="D22" s="32"/>
      <c r="E22" s="33"/>
      <c r="F22" s="33"/>
      <c r="G22" s="34"/>
      <c r="H22" s="34"/>
      <c r="I22" s="34"/>
      <c r="J22" s="34"/>
      <c r="K22" s="34"/>
      <c r="O22" s="227"/>
      <c r="P22" s="227"/>
      <c r="Q22" s="227"/>
      <c r="R22" s="227"/>
      <c r="S22" s="227"/>
      <c r="T22" s="227"/>
    </row>
    <row r="23" spans="1:31" ht="16.5" customHeight="1">
      <c r="A23" s="30"/>
      <c r="B23" s="217"/>
      <c r="C23" s="217"/>
      <c r="D23" s="32"/>
      <c r="E23" s="33"/>
      <c r="F23" s="33"/>
      <c r="G23" s="34"/>
      <c r="H23" s="34"/>
      <c r="I23" s="34"/>
      <c r="J23" s="34"/>
      <c r="K23" s="34"/>
    </row>
    <row r="24" spans="1:31" ht="18" customHeight="1">
      <c r="A24" s="30"/>
      <c r="B24" s="216"/>
      <c r="C24" s="216"/>
      <c r="D24" s="32"/>
      <c r="E24" s="33"/>
      <c r="F24" s="33"/>
      <c r="G24" s="34"/>
      <c r="H24" s="34"/>
      <c r="I24" s="34"/>
      <c r="J24" s="34"/>
      <c r="K24" s="34"/>
    </row>
    <row r="25" spans="1:31" ht="17.399999999999999">
      <c r="A25" s="30"/>
      <c r="B25" s="216"/>
      <c r="C25" s="216"/>
      <c r="D25" s="32"/>
      <c r="E25" s="33"/>
      <c r="F25" s="33"/>
      <c r="G25" s="34"/>
      <c r="H25" s="34"/>
      <c r="I25" s="34"/>
      <c r="J25" s="34"/>
      <c r="K25" s="34"/>
    </row>
    <row r="26" spans="1:31" ht="17.399999999999999">
      <c r="A26" s="30"/>
      <c r="B26" s="216"/>
      <c r="C26" s="216"/>
      <c r="D26" s="41"/>
      <c r="E26" s="33"/>
      <c r="F26" s="33"/>
      <c r="G26" s="34"/>
      <c r="H26" s="34"/>
      <c r="I26" s="34"/>
      <c r="J26" s="34"/>
      <c r="K26" s="34"/>
    </row>
    <row r="27" spans="1:31" ht="18" customHeight="1">
      <c r="A27" s="30"/>
      <c r="B27" s="216"/>
      <c r="C27" s="216"/>
      <c r="D27" s="32"/>
      <c r="E27" s="33"/>
      <c r="F27" s="33"/>
      <c r="G27" s="34"/>
      <c r="H27" s="34"/>
      <c r="I27" s="34"/>
      <c r="J27" s="34"/>
      <c r="K27" s="34"/>
    </row>
    <row r="28" spans="1:31" ht="17.399999999999999">
      <c r="A28" s="30"/>
      <c r="B28" s="216"/>
      <c r="C28" s="216"/>
      <c r="D28" s="32"/>
      <c r="E28" s="33"/>
      <c r="F28" s="33"/>
      <c r="G28" s="34"/>
      <c r="H28" s="34"/>
      <c r="I28" s="34"/>
      <c r="J28" s="34"/>
      <c r="K28" s="34"/>
    </row>
    <row r="29" spans="1:31" ht="17.399999999999999">
      <c r="A29" s="30"/>
      <c r="B29" s="216"/>
      <c r="C29" s="216"/>
      <c r="D29" s="32"/>
      <c r="E29" s="33"/>
      <c r="F29" s="33"/>
      <c r="G29" s="34"/>
      <c r="H29" s="34"/>
      <c r="I29" s="34"/>
      <c r="J29" s="42"/>
      <c r="K29" s="42"/>
    </row>
    <row r="30" spans="1:31" ht="15.75" customHeight="1">
      <c r="A30" s="30"/>
      <c r="B30" s="216"/>
      <c r="C30" s="216"/>
      <c r="D30" s="41"/>
      <c r="E30" s="33"/>
      <c r="F30" s="33"/>
      <c r="G30" s="243"/>
      <c r="H30" s="243"/>
      <c r="I30" s="243"/>
      <c r="J30" s="243"/>
      <c r="K30" s="243"/>
    </row>
    <row r="31" spans="1:31" ht="17.399999999999999">
      <c r="A31" s="30"/>
      <c r="B31" s="216"/>
      <c r="C31" s="216"/>
      <c r="D31" s="41"/>
      <c r="E31" s="33"/>
      <c r="F31" s="33"/>
      <c r="G31" s="34"/>
      <c r="H31" s="34"/>
      <c r="I31" s="34"/>
      <c r="J31" s="43"/>
      <c r="K31" s="43"/>
    </row>
    <row r="32" spans="1:31" ht="17.399999999999999">
      <c r="A32" s="30"/>
      <c r="B32" s="216"/>
      <c r="C32" s="216"/>
      <c r="D32" s="32"/>
      <c r="E32" s="33"/>
      <c r="F32" s="33"/>
      <c r="G32" s="34"/>
      <c r="H32" s="34"/>
      <c r="I32" s="34"/>
      <c r="J32" s="34"/>
      <c r="K32" s="34"/>
    </row>
    <row r="33" spans="1:13" ht="15.6">
      <c r="A33" s="30"/>
      <c r="B33" s="216"/>
      <c r="C33" s="216"/>
      <c r="D33" s="32"/>
      <c r="E33" s="33"/>
      <c r="F33" s="33"/>
      <c r="G33" s="243"/>
      <c r="H33" s="243"/>
      <c r="I33" s="243"/>
      <c r="J33" s="243"/>
      <c r="K33" s="243"/>
    </row>
    <row r="34" spans="1:13" ht="18" customHeight="1">
      <c r="A34" s="30"/>
      <c r="B34" s="216"/>
      <c r="C34" s="216"/>
      <c r="D34" s="32"/>
      <c r="E34" s="33"/>
      <c r="F34" s="33"/>
      <c r="G34" s="34"/>
      <c r="H34" s="34"/>
      <c r="I34" s="34"/>
      <c r="J34" s="34"/>
      <c r="K34" s="34"/>
    </row>
    <row r="35" spans="1:13" ht="17.399999999999999">
      <c r="A35" s="30"/>
      <c r="B35" s="216"/>
      <c r="C35" s="216"/>
      <c r="D35" s="32"/>
      <c r="E35" s="33"/>
      <c r="F35" s="33"/>
      <c r="G35" s="34"/>
      <c r="H35" s="34"/>
      <c r="I35" s="34"/>
      <c r="J35" s="34"/>
      <c r="K35" s="34"/>
    </row>
    <row r="36" spans="1:13" ht="17.399999999999999">
      <c r="A36" s="30"/>
      <c r="B36" s="216"/>
      <c r="C36" s="216"/>
      <c r="D36" s="32"/>
      <c r="E36" s="33"/>
      <c r="F36" s="33"/>
      <c r="G36" s="34"/>
      <c r="H36" s="34"/>
      <c r="I36" s="34"/>
      <c r="J36" s="34"/>
      <c r="K36" s="34"/>
    </row>
    <row r="37" spans="1:13" ht="17.399999999999999">
      <c r="A37" s="30"/>
      <c r="B37" s="216"/>
      <c r="C37" s="216"/>
      <c r="D37" s="32"/>
      <c r="E37" s="33"/>
      <c r="F37" s="33"/>
      <c r="G37" s="34"/>
      <c r="H37" s="34"/>
      <c r="I37" s="34"/>
      <c r="J37" s="34"/>
      <c r="K37" s="34"/>
    </row>
    <row r="38" spans="1:13" ht="21">
      <c r="A38" s="44"/>
      <c r="B38" s="226"/>
      <c r="C38" s="226"/>
      <c r="D38" s="45"/>
      <c r="E38" s="46"/>
      <c r="F38" s="47"/>
      <c r="G38" s="34"/>
      <c r="H38" s="34"/>
      <c r="I38" s="34"/>
      <c r="J38" s="34"/>
      <c r="K38" s="34"/>
    </row>
    <row r="39" spans="1:13" ht="15.6">
      <c r="A39" s="16"/>
      <c r="B39" s="16"/>
      <c r="C39" s="16"/>
      <c r="D39" s="16"/>
      <c r="E39" s="16"/>
      <c r="F39" s="16"/>
      <c r="G39" s="17"/>
      <c r="H39" s="16"/>
      <c r="I39" s="16"/>
      <c r="J39" s="215"/>
      <c r="K39" s="215"/>
      <c r="L39" s="33"/>
      <c r="M39" s="33"/>
    </row>
    <row r="40" spans="1:13" ht="21">
      <c r="A40" s="48"/>
      <c r="B40" s="49"/>
      <c r="C40" s="49"/>
      <c r="D40" s="49"/>
      <c r="E40" s="20"/>
      <c r="F40" s="20"/>
      <c r="J40" s="50"/>
      <c r="K40" s="50"/>
      <c r="L40" s="50"/>
      <c r="M40" s="50"/>
    </row>
    <row r="41" spans="1:13" ht="17.399999999999999">
      <c r="A41" s="238"/>
      <c r="B41" s="238"/>
      <c r="C41" s="238"/>
      <c r="D41" s="238"/>
      <c r="L41" s="51"/>
    </row>
    <row r="42" spans="1:13" ht="21">
      <c r="D42" s="20"/>
      <c r="E42" s="20"/>
      <c r="F42" s="52"/>
      <c r="J42" s="49"/>
      <c r="K42" s="49"/>
      <c r="L42" s="49"/>
    </row>
    <row r="43" spans="1:13" ht="15.6">
      <c r="J43" s="53"/>
      <c r="K43" s="53"/>
      <c r="L43" s="53"/>
    </row>
    <row r="44" spans="1:13" ht="20.399999999999999">
      <c r="H44" s="54"/>
    </row>
  </sheetData>
  <sheetProtection algorithmName="SHA-512" hashValue="kqFL4KyYW4iPux1R5Y5tpQ+4tFBevM/2gSbFTokY+SyUaGmDCZtVPoFfeFQmaHIGGXkU1VCOUohxZD5UhHUVNw==" saltValue="0JdckIXbigoi116T9KTTKw==" spinCount="100000" sheet="1" objects="1" scenarios="1" formatCells="0" formatColumns="0"/>
  <mergeCells count="52">
    <mergeCell ref="A5:O5"/>
    <mergeCell ref="A41:D41"/>
    <mergeCell ref="L7:N7"/>
    <mergeCell ref="O7:Q7"/>
    <mergeCell ref="R7:T7"/>
    <mergeCell ref="G30:K30"/>
    <mergeCell ref="B31:C31"/>
    <mergeCell ref="B32:C32"/>
    <mergeCell ref="B33:C33"/>
    <mergeCell ref="G33:K33"/>
    <mergeCell ref="B34:C34"/>
    <mergeCell ref="B17:C17"/>
    <mergeCell ref="B20:C20"/>
    <mergeCell ref="A7:A8"/>
    <mergeCell ref="B7:C8"/>
    <mergeCell ref="D7:D8"/>
    <mergeCell ref="U7:V7"/>
    <mergeCell ref="G6:K6"/>
    <mergeCell ref="L6:V6"/>
    <mergeCell ref="B38:C38"/>
    <mergeCell ref="O21:T22"/>
    <mergeCell ref="G7:I7"/>
    <mergeCell ref="J7:K7"/>
    <mergeCell ref="B9:C9"/>
    <mergeCell ref="B16:C16"/>
    <mergeCell ref="C15:P15"/>
    <mergeCell ref="D17:E17"/>
    <mergeCell ref="F17:G17"/>
    <mergeCell ref="I17:J17"/>
    <mergeCell ref="K17:L17"/>
    <mergeCell ref="M17:N17"/>
    <mergeCell ref="O17:P17"/>
    <mergeCell ref="J39:K39"/>
    <mergeCell ref="B30:C30"/>
    <mergeCell ref="B21:C21"/>
    <mergeCell ref="B22:C22"/>
    <mergeCell ref="B23:C23"/>
    <mergeCell ref="B24:C24"/>
    <mergeCell ref="B35:C35"/>
    <mergeCell ref="B36:C36"/>
    <mergeCell ref="B37:C37"/>
    <mergeCell ref="B27:C27"/>
    <mergeCell ref="B28:C28"/>
    <mergeCell ref="B29:C29"/>
    <mergeCell ref="B25:C25"/>
    <mergeCell ref="B26:C26"/>
    <mergeCell ref="B10:C10"/>
    <mergeCell ref="B11:C11"/>
    <mergeCell ref="B13:C13"/>
    <mergeCell ref="B14:C14"/>
    <mergeCell ref="Q17:R17"/>
    <mergeCell ref="B12:C12"/>
  </mergeCells>
  <pageMargins left="0.25" right="0.25" top="0.75" bottom="0.75" header="0.3" footer="0.3"/>
  <pageSetup paperSize="9" scale="6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E41"/>
  <sheetViews>
    <sheetView rightToLeft="1" zoomScale="89" zoomScaleNormal="89" workbookViewId="0">
      <selection activeCell="L11" sqref="L11:M11"/>
    </sheetView>
  </sheetViews>
  <sheetFormatPr defaultColWidth="9" defaultRowHeight="13.2"/>
  <cols>
    <col min="1" max="1" width="19.88671875" style="13" customWidth="1"/>
    <col min="2" max="2" width="5" style="13" customWidth="1"/>
    <col min="3" max="3" width="12.33203125" style="13" customWidth="1"/>
    <col min="4" max="4" width="16.6640625" style="13" bestFit="1" customWidth="1"/>
    <col min="5" max="5" width="20.6640625" style="13" bestFit="1" customWidth="1"/>
    <col min="6" max="6" width="18.5546875" style="13" customWidth="1"/>
    <col min="7" max="7" width="18.5546875" style="13" bestFit="1" customWidth="1"/>
    <col min="8" max="8" width="19.109375" style="13" customWidth="1"/>
    <col min="9" max="9" width="15.6640625" style="13" bestFit="1" customWidth="1"/>
    <col min="10" max="10" width="18.33203125" style="13" bestFit="1" customWidth="1"/>
    <col min="11" max="11" width="15.33203125" style="13" bestFit="1" customWidth="1"/>
    <col min="12" max="12" width="13.109375" style="13" customWidth="1"/>
    <col min="13" max="13" width="10.5546875" style="13" customWidth="1"/>
    <col min="14" max="14" width="8.6640625" style="13" bestFit="1" customWidth="1"/>
    <col min="15" max="15" width="9.109375" style="13" customWidth="1"/>
    <col min="16" max="16" width="7.6640625" style="13" bestFit="1" customWidth="1"/>
    <col min="17" max="17" width="8.6640625" style="13" bestFit="1" customWidth="1"/>
    <col min="18" max="18" width="7.6640625" style="13" bestFit="1" customWidth="1"/>
    <col min="19" max="19" width="6.6640625" style="13" bestFit="1" customWidth="1"/>
    <col min="20" max="20" width="7.6640625" style="13" bestFit="1" customWidth="1"/>
    <col min="21" max="21" width="8.33203125" style="13" bestFit="1" customWidth="1"/>
    <col min="22" max="22" width="11.6640625" style="13" bestFit="1" customWidth="1"/>
    <col min="23" max="16384" width="9" style="13"/>
  </cols>
  <sheetData>
    <row r="1" spans="1:31" ht="17.25" customHeight="1">
      <c r="A1" s="11" t="s">
        <v>75</v>
      </c>
      <c r="B1" s="11"/>
      <c r="C1" s="11"/>
      <c r="D1" s="11"/>
      <c r="E1" s="12"/>
    </row>
    <row r="2" spans="1:31" ht="16.5" customHeight="1">
      <c r="A2" s="11" t="s">
        <v>74</v>
      </c>
      <c r="B2" s="11"/>
      <c r="C2" s="11"/>
      <c r="D2" s="14"/>
      <c r="E2" s="15"/>
      <c r="F2" s="16"/>
      <c r="G2" s="17"/>
      <c r="H2" s="16"/>
      <c r="I2" s="16"/>
      <c r="J2" s="16"/>
      <c r="K2" s="16"/>
    </row>
    <row r="3" spans="1:31" ht="15" customHeight="1">
      <c r="A3" s="14" t="s">
        <v>73</v>
      </c>
      <c r="B3" s="14"/>
      <c r="C3" s="14"/>
      <c r="D3" s="14"/>
      <c r="E3" s="15"/>
      <c r="F3" s="16"/>
      <c r="G3" s="17"/>
      <c r="H3" s="16"/>
      <c r="I3" s="16"/>
      <c r="J3" s="16"/>
      <c r="K3" s="16"/>
    </row>
    <row r="4" spans="1:31" ht="16.5" customHeight="1">
      <c r="A4" s="14"/>
      <c r="B4" s="14"/>
      <c r="C4" s="14"/>
      <c r="D4" s="14"/>
      <c r="E4" s="18"/>
      <c r="F4" s="16"/>
      <c r="G4" s="17"/>
      <c r="H4" s="16"/>
      <c r="I4" s="16"/>
      <c r="J4" s="16"/>
      <c r="K4" s="16"/>
    </row>
    <row r="5" spans="1:31" s="20" customFormat="1" ht="32.25" customHeight="1">
      <c r="A5" s="237" t="s">
        <v>84</v>
      </c>
      <c r="B5" s="237"/>
      <c r="C5" s="237"/>
      <c r="D5" s="237"/>
      <c r="E5" s="237"/>
      <c r="F5" s="237"/>
      <c r="G5" s="237"/>
      <c r="H5" s="237"/>
      <c r="I5" s="237"/>
      <c r="J5" s="58">
        <f>Main!Q10</f>
        <v>0</v>
      </c>
      <c r="K5" s="59">
        <f>'تقرير المواد الصلبة'!J10</f>
        <v>0</v>
      </c>
      <c r="P5" s="19"/>
    </row>
    <row r="6" spans="1:31" s="23" customFormat="1" ht="27" customHeight="1" thickBot="1">
      <c r="A6" s="21"/>
      <c r="B6" s="20"/>
      <c r="C6" s="20"/>
      <c r="D6" s="20"/>
      <c r="E6" s="20"/>
      <c r="F6" s="20"/>
      <c r="G6" s="22"/>
      <c r="H6" s="22"/>
      <c r="I6" s="22"/>
      <c r="J6" s="22"/>
      <c r="K6" s="22"/>
      <c r="L6" s="22"/>
      <c r="M6" s="22"/>
      <c r="N6" s="13"/>
      <c r="O6" s="13"/>
      <c r="P6" s="13"/>
      <c r="Q6" s="13"/>
      <c r="R6" s="13"/>
      <c r="S6" s="13"/>
      <c r="T6" s="13"/>
      <c r="U6" s="13"/>
      <c r="V6" s="13"/>
    </row>
    <row r="7" spans="1:31" ht="24.75" customHeight="1">
      <c r="A7" s="268" t="s">
        <v>4</v>
      </c>
      <c r="B7" s="268" t="s">
        <v>71</v>
      </c>
      <c r="C7" s="270"/>
      <c r="D7" s="272" t="s">
        <v>70</v>
      </c>
      <c r="E7" s="24" t="s">
        <v>69</v>
      </c>
      <c r="F7" s="25" t="s">
        <v>68</v>
      </c>
      <c r="G7" s="267" t="s">
        <v>89</v>
      </c>
      <c r="H7" s="267" t="s">
        <v>85</v>
      </c>
      <c r="I7" s="267" t="s">
        <v>10</v>
      </c>
      <c r="J7" s="257" t="s">
        <v>86</v>
      </c>
      <c r="K7" s="259" t="s">
        <v>88</v>
      </c>
      <c r="L7" s="251" t="s">
        <v>87</v>
      </c>
      <c r="M7" s="252"/>
    </row>
    <row r="8" spans="1:31" ht="27" customHeight="1" thickBot="1">
      <c r="A8" s="269"/>
      <c r="B8" s="269"/>
      <c r="C8" s="271"/>
      <c r="D8" s="273"/>
      <c r="E8" s="26" t="s">
        <v>63</v>
      </c>
      <c r="F8" s="27" t="s">
        <v>63</v>
      </c>
      <c r="G8" s="258"/>
      <c r="H8" s="258"/>
      <c r="I8" s="258"/>
      <c r="J8" s="258" t="s">
        <v>58</v>
      </c>
      <c r="K8" s="260"/>
      <c r="L8" s="253"/>
      <c r="M8" s="254"/>
    </row>
    <row r="9" spans="1:31" ht="32.25" customHeight="1" thickBot="1">
      <c r="A9" s="141">
        <f>DATE(K5,J5+1,)</f>
        <v>0</v>
      </c>
      <c r="B9" s="261" t="s">
        <v>76</v>
      </c>
      <c r="C9" s="261"/>
      <c r="D9" s="28" t="s">
        <v>77</v>
      </c>
      <c r="E9" s="28">
        <v>15000</v>
      </c>
      <c r="F9" s="29">
        <v>14500</v>
      </c>
      <c r="G9" s="55">
        <f>IFERROR(COUNTA(TSS[[column]:[column1]]),"")-(COUNTA(TSS[[column]:[column1]])-2*COUNTA(TSS[SV30]))</f>
        <v>0</v>
      </c>
      <c r="H9" s="55">
        <f>COUNT(TSS[SV30])</f>
        <v>0</v>
      </c>
      <c r="I9" s="56">
        <f>COUNT(TSS[RAS])</f>
        <v>0</v>
      </c>
      <c r="J9" s="56">
        <f>COUNT(TSS[Thickner])</f>
        <v>0</v>
      </c>
      <c r="K9" s="57">
        <f>COUNT(TSS[Dry Sludge TS %])</f>
        <v>0</v>
      </c>
      <c r="L9" s="255">
        <f>IFERROR(SUM(G9:K9),"")</f>
        <v>0</v>
      </c>
      <c r="M9" s="256"/>
    </row>
    <row r="10" spans="1:31" ht="32.25" customHeight="1" thickBot="1">
      <c r="A10" s="141">
        <f>A9</f>
        <v>0</v>
      </c>
      <c r="B10" s="262">
        <f>Main!B52</f>
        <v>0</v>
      </c>
      <c r="C10" s="263"/>
      <c r="D10" s="28" t="s">
        <v>102</v>
      </c>
      <c r="E10" s="195"/>
      <c r="F10" s="196"/>
      <c r="G10" s="55" t="str">
        <f>IFERROR(IF(Main!C52="","",2),"")</f>
        <v/>
      </c>
      <c r="H10" s="197"/>
      <c r="I10" s="198"/>
      <c r="J10" s="198"/>
      <c r="K10" s="199"/>
      <c r="L10" s="255" t="str">
        <f>G10</f>
        <v/>
      </c>
      <c r="M10" s="256"/>
    </row>
    <row r="11" spans="1:31" ht="32.25" customHeight="1" thickBot="1">
      <c r="A11" s="200" t="s">
        <v>104</v>
      </c>
      <c r="B11" s="197"/>
      <c r="C11" s="198"/>
      <c r="D11" s="198"/>
      <c r="E11" s="199"/>
      <c r="F11" s="197"/>
      <c r="G11" s="198"/>
      <c r="H11" s="198"/>
      <c r="I11" s="199"/>
      <c r="J11" s="197"/>
      <c r="K11" s="198"/>
      <c r="L11" s="264">
        <f>SUM(L9:M10)</f>
        <v>0</v>
      </c>
      <c r="M11" s="265"/>
    </row>
    <row r="12" spans="1:31" ht="44.25" customHeight="1">
      <c r="A12" s="30"/>
      <c r="B12" s="31"/>
      <c r="C12" s="138"/>
      <c r="I12" s="138"/>
      <c r="J12" s="138"/>
      <c r="K12" s="138"/>
      <c r="L12" s="138"/>
      <c r="M12" s="138"/>
      <c r="N12" s="138"/>
      <c r="O12" s="138"/>
      <c r="P12" s="138"/>
    </row>
    <row r="13" spans="1:31" ht="23.25" customHeight="1">
      <c r="A13" s="30"/>
      <c r="B13" s="234"/>
      <c r="C13" s="234"/>
      <c r="I13" s="35"/>
      <c r="J13" s="35"/>
      <c r="K13" s="35"/>
      <c r="N13" s="33"/>
    </row>
    <row r="14" spans="1:31" ht="35.25" customHeight="1">
      <c r="A14" s="30"/>
      <c r="Q14" s="13">
        <f>11.71-1.61</f>
        <v>10.100000000000001</v>
      </c>
    </row>
    <row r="15" spans="1:31" ht="39.75" customHeight="1">
      <c r="A15" s="30"/>
    </row>
    <row r="16" spans="1:31" s="39" customFormat="1" ht="33.75" customHeight="1">
      <c r="A16" s="36"/>
      <c r="B16" s="37"/>
      <c r="C16" s="37"/>
      <c r="I16" s="37"/>
      <c r="J16" s="37"/>
      <c r="N16" s="37"/>
      <c r="O16" s="37"/>
      <c r="P16" s="38"/>
      <c r="Q16" s="38"/>
      <c r="R16" s="37"/>
      <c r="S16" s="37"/>
      <c r="T16" s="37"/>
      <c r="U16" s="38"/>
      <c r="V16" s="38"/>
      <c r="W16" s="37"/>
      <c r="X16" s="37"/>
      <c r="Y16" s="38"/>
      <c r="Z16" s="38"/>
      <c r="AA16" s="37"/>
      <c r="AB16" s="37"/>
      <c r="AC16" s="37"/>
      <c r="AD16" s="37"/>
      <c r="AE16" s="37"/>
    </row>
    <row r="17" spans="1:18" ht="16.5" customHeight="1">
      <c r="A17" s="30"/>
      <c r="B17" s="216"/>
      <c r="C17" s="216"/>
      <c r="D17" s="32"/>
      <c r="E17" s="33"/>
      <c r="F17" s="33"/>
      <c r="G17" s="34"/>
      <c r="H17" s="34"/>
      <c r="I17" s="34"/>
      <c r="J17" s="34"/>
      <c r="K17" s="34"/>
      <c r="L17" s="40" t="s">
        <v>78</v>
      </c>
      <c r="N17" s="40"/>
      <c r="O17" s="40"/>
      <c r="P17" s="40"/>
      <c r="Q17" s="40"/>
      <c r="R17" s="40"/>
    </row>
    <row r="18" spans="1:18" ht="16.5" customHeight="1">
      <c r="A18" s="30"/>
      <c r="B18" s="216"/>
      <c r="C18" s="216"/>
      <c r="D18" s="32"/>
      <c r="E18" s="33"/>
      <c r="F18" s="33"/>
      <c r="G18" s="146"/>
      <c r="H18" s="34"/>
      <c r="I18" s="146"/>
      <c r="J18" s="34"/>
      <c r="K18" s="34"/>
      <c r="M18" s="40"/>
      <c r="N18" s="40"/>
      <c r="O18" s="40"/>
      <c r="P18" s="40"/>
      <c r="Q18" s="40"/>
      <c r="R18" s="40"/>
    </row>
    <row r="19" spans="1:18" ht="16.5" customHeight="1">
      <c r="A19" s="30"/>
      <c r="B19" s="216"/>
      <c r="C19" s="216"/>
      <c r="D19" s="32"/>
      <c r="E19" s="33"/>
      <c r="F19" s="33"/>
      <c r="G19" s="34"/>
      <c r="H19" s="34"/>
      <c r="I19" s="34"/>
      <c r="J19" s="34"/>
      <c r="K19" s="34"/>
    </row>
    <row r="20" spans="1:18" ht="16.5" customHeight="1">
      <c r="A20" s="30"/>
      <c r="B20" s="217"/>
      <c r="C20" s="217"/>
      <c r="D20" s="32"/>
      <c r="E20" s="33"/>
      <c r="F20" s="33"/>
      <c r="G20" s="34"/>
      <c r="H20" s="34"/>
      <c r="I20" s="34"/>
      <c r="J20" s="34"/>
      <c r="K20" s="34"/>
    </row>
    <row r="21" spans="1:18" ht="18" customHeight="1">
      <c r="A21" s="30"/>
      <c r="B21" s="216"/>
      <c r="C21" s="216"/>
      <c r="D21" s="32"/>
      <c r="E21" s="33"/>
      <c r="F21" s="33"/>
      <c r="G21" s="146"/>
      <c r="H21" s="34"/>
      <c r="I21" s="34"/>
      <c r="J21" s="34"/>
      <c r="K21" s="34"/>
    </row>
    <row r="22" spans="1:18" ht="17.399999999999999">
      <c r="A22" s="30"/>
      <c r="B22" s="216"/>
      <c r="C22" s="216"/>
      <c r="D22" s="32"/>
      <c r="E22" s="33"/>
      <c r="F22" s="33"/>
      <c r="G22" s="34"/>
      <c r="H22" s="34"/>
      <c r="I22" s="146"/>
      <c r="J22" s="34"/>
      <c r="K22" s="34"/>
    </row>
    <row r="23" spans="1:18" ht="17.399999999999999">
      <c r="A23" s="30"/>
      <c r="B23" s="216"/>
      <c r="C23" s="216"/>
      <c r="D23" s="41"/>
      <c r="E23" s="33"/>
      <c r="F23" s="33"/>
      <c r="G23" s="34"/>
      <c r="H23" s="34"/>
      <c r="I23" s="34"/>
      <c r="J23" s="34"/>
      <c r="K23" s="34"/>
    </row>
    <row r="24" spans="1:18" ht="33" customHeight="1">
      <c r="A24" s="30"/>
      <c r="B24" s="216"/>
      <c r="C24" s="216"/>
      <c r="D24" s="266" t="s">
        <v>97</v>
      </c>
      <c r="E24" s="266"/>
      <c r="F24" s="266"/>
      <c r="G24" s="266"/>
      <c r="H24" s="266"/>
      <c r="K24" s="34"/>
    </row>
    <row r="25" spans="1:18" ht="17.399999999999999">
      <c r="A25" s="30"/>
      <c r="B25" s="216"/>
      <c r="C25" s="216"/>
      <c r="D25" s="32"/>
      <c r="E25" s="33"/>
      <c r="F25" s="33"/>
      <c r="G25" s="35"/>
      <c r="H25" s="35"/>
      <c r="K25" s="34"/>
    </row>
    <row r="26" spans="1:18" ht="39" customHeight="1">
      <c r="A26" s="30"/>
      <c r="B26" s="216"/>
      <c r="C26" s="216"/>
      <c r="E26" s="139" t="s">
        <v>93</v>
      </c>
      <c r="F26" s="147" t="s">
        <v>94</v>
      </c>
      <c r="G26" s="147" t="s">
        <v>95</v>
      </c>
      <c r="H26" s="140" t="s">
        <v>96</v>
      </c>
      <c r="K26" s="42"/>
    </row>
    <row r="27" spans="1:18" ht="27" customHeight="1">
      <c r="A27" s="30"/>
      <c r="B27" s="216"/>
      <c r="C27" s="216"/>
      <c r="E27" s="144" t="str">
        <f ca="1">IFERROR(Main!$N$47*(الاحصائية!$F$9*_xlfn.DAYS(IF(TODAY()&gt;DATE(K5,J5,DAY(TODAY())),EOMONTH(A9,0),TODAY()),EOMONTH(A9,-1)))/1000,"")</f>
        <v/>
      </c>
      <c r="F27" s="145" t="str">
        <f ca="1">IFERROR(Main!$O$47*(الاحصائية!$F$9*_xlfn.DAYS(IF(TODAY()&gt;DATE(K5,J5,DAY(TODAY())),EOMONTH(A9,0),TODAY()),EOMONTH(A9,-1)))/1000,"")</f>
        <v/>
      </c>
      <c r="G27" s="145" t="str">
        <f ca="1">IFERROR('تقرير المواد الصلبة'!$H$44*('تقرير المواد الصلبة'!$O$44)*_xlfn.DAYS(IF(TODAY()&gt;DATE(K5,J5,DAY(TODAY())),EOMONTH(A9,0),TODAY()),EOMONTH(A9,-1))/1000,"")</f>
        <v/>
      </c>
      <c r="H27" s="145" t="str">
        <f ca="1">IFERROR('تقرير المواد الصلبة'!$I$44*('تقرير المواد الصلبة'!$P$44)*_xlfn.DAYS(IF(TODAY()&gt;DATE(K5,J5,DAY(TODAY())),EOMONTH(A9,0), TODAY()),EOMONTH(A9,-1))/1000,"")</f>
        <v/>
      </c>
    </row>
    <row r="28" spans="1:18" ht="15.6">
      <c r="A28" s="30"/>
      <c r="B28" s="216"/>
      <c r="C28" s="216"/>
      <c r="D28" s="41"/>
      <c r="E28" s="33"/>
      <c r="F28" s="38"/>
      <c r="G28" s="38"/>
      <c r="H28" s="37"/>
      <c r="I28" s="37"/>
      <c r="J28" s="37"/>
      <c r="K28" s="43"/>
    </row>
    <row r="29" spans="1:18" ht="17.399999999999999">
      <c r="A29" s="30"/>
      <c r="B29" s="216"/>
      <c r="C29" s="216"/>
      <c r="D29" s="32"/>
      <c r="E29" s="33"/>
      <c r="F29" s="33"/>
      <c r="G29" s="34"/>
      <c r="H29" s="34"/>
      <c r="I29" s="34"/>
      <c r="J29" s="34"/>
      <c r="K29" s="34"/>
    </row>
    <row r="30" spans="1:18" ht="15.6">
      <c r="A30" s="30"/>
      <c r="B30" s="216"/>
      <c r="C30" s="216"/>
      <c r="D30" s="32"/>
      <c r="E30" s="33"/>
      <c r="F30" s="33"/>
    </row>
    <row r="31" spans="1:18" ht="18" customHeight="1">
      <c r="A31" s="30"/>
      <c r="B31" s="216"/>
      <c r="C31" s="216"/>
      <c r="D31" s="32"/>
      <c r="E31" s="33"/>
      <c r="F31" s="33"/>
      <c r="G31" s="34"/>
      <c r="H31" s="34"/>
      <c r="I31" s="34"/>
      <c r="J31" s="34"/>
      <c r="K31" s="34"/>
    </row>
    <row r="32" spans="1:18" ht="17.399999999999999">
      <c r="A32" s="30"/>
      <c r="B32" s="216"/>
      <c r="C32" s="216"/>
      <c r="D32" s="32"/>
      <c r="E32" s="33"/>
      <c r="F32" s="33"/>
      <c r="G32" s="34"/>
      <c r="H32" s="34"/>
      <c r="I32" s="34"/>
      <c r="J32" s="34"/>
      <c r="K32" s="34"/>
    </row>
    <row r="33" spans="1:13" ht="17.399999999999999">
      <c r="A33" s="30"/>
      <c r="B33" s="216"/>
      <c r="C33" s="216"/>
      <c r="D33" s="32"/>
      <c r="E33" s="33"/>
      <c r="F33" s="33"/>
      <c r="G33" s="34"/>
      <c r="H33" s="34"/>
      <c r="I33" s="34"/>
      <c r="J33" s="34"/>
      <c r="K33" s="34"/>
    </row>
    <row r="34" spans="1:13" ht="17.399999999999999">
      <c r="A34" s="30"/>
      <c r="B34" s="216"/>
      <c r="C34" s="216"/>
      <c r="D34" s="32"/>
      <c r="E34" s="33"/>
      <c r="F34" s="33"/>
      <c r="G34" s="34"/>
      <c r="H34" s="34"/>
      <c r="I34" s="34"/>
      <c r="J34" s="34"/>
      <c r="K34" s="34"/>
    </row>
    <row r="35" spans="1:13" ht="21">
      <c r="A35" s="44"/>
      <c r="B35" s="226"/>
      <c r="C35" s="226"/>
      <c r="D35" s="45"/>
      <c r="E35" s="46"/>
      <c r="F35" s="47"/>
      <c r="G35" s="34"/>
      <c r="H35" s="34"/>
      <c r="I35" s="34"/>
      <c r="J35" s="34"/>
      <c r="K35" s="34"/>
    </row>
    <row r="36" spans="1:13" ht="15.6">
      <c r="A36" s="16"/>
      <c r="B36" s="16"/>
      <c r="C36" s="16"/>
      <c r="D36" s="16"/>
      <c r="E36" s="16"/>
      <c r="F36" s="16"/>
      <c r="G36" s="17"/>
      <c r="H36" s="16"/>
      <c r="I36" s="16"/>
      <c r="J36" s="215"/>
      <c r="K36" s="215"/>
      <c r="L36" s="33"/>
      <c r="M36" s="33"/>
    </row>
    <row r="37" spans="1:13" ht="21">
      <c r="A37" s="48"/>
      <c r="B37" s="49"/>
      <c r="C37" s="49"/>
      <c r="D37" s="49"/>
      <c r="E37" s="20"/>
      <c r="F37" s="20"/>
      <c r="J37" s="50"/>
      <c r="K37" s="50"/>
      <c r="L37" s="50"/>
      <c r="M37" s="50"/>
    </row>
    <row r="38" spans="1:13" ht="17.399999999999999">
      <c r="A38" s="238"/>
      <c r="B38" s="238"/>
      <c r="C38" s="238"/>
      <c r="D38" s="238"/>
      <c r="L38" s="51"/>
    </row>
    <row r="39" spans="1:13" ht="21">
      <c r="D39" s="20"/>
      <c r="E39" s="20"/>
      <c r="F39" s="52"/>
      <c r="J39" s="49"/>
      <c r="K39" s="49"/>
      <c r="L39" s="49"/>
    </row>
    <row r="40" spans="1:13" ht="15.6">
      <c r="J40" s="53"/>
      <c r="K40" s="53"/>
      <c r="L40" s="53"/>
    </row>
    <row r="41" spans="1:13" ht="20.399999999999999">
      <c r="H41" s="54"/>
    </row>
  </sheetData>
  <sheetProtection algorithmName="SHA-512" hashValue="V9bmpWu9rJwglS1uQXBbPhq7Ec+/NIZR5esCxnoK2qOn62rbH2HEwozvOdkN7Ec0KHICZYRLXGNTzE/qiwaqOQ==" saltValue="AcBqQEjfTUtiyvFIprukpA==" spinCount="100000" sheet="1" formatCells="0" formatColumns="0"/>
  <mergeCells count="38">
    <mergeCell ref="B23:C23"/>
    <mergeCell ref="D24:H24"/>
    <mergeCell ref="A5:I5"/>
    <mergeCell ref="A38:D38"/>
    <mergeCell ref="G7:G8"/>
    <mergeCell ref="H7:H8"/>
    <mergeCell ref="I7:I8"/>
    <mergeCell ref="B32:C32"/>
    <mergeCell ref="B33:C33"/>
    <mergeCell ref="B34:C34"/>
    <mergeCell ref="B35:C35"/>
    <mergeCell ref="B13:C13"/>
    <mergeCell ref="A7:A8"/>
    <mergeCell ref="B7:C8"/>
    <mergeCell ref="D7:D8"/>
    <mergeCell ref="B17:C17"/>
    <mergeCell ref="B18:C18"/>
    <mergeCell ref="B19:C19"/>
    <mergeCell ref="B22:C22"/>
    <mergeCell ref="L7:M8"/>
    <mergeCell ref="L9:M9"/>
    <mergeCell ref="B20:C20"/>
    <mergeCell ref="J7:J8"/>
    <mergeCell ref="K7:K8"/>
    <mergeCell ref="B9:C9"/>
    <mergeCell ref="B21:C21"/>
    <mergeCell ref="B10:C10"/>
    <mergeCell ref="L10:M10"/>
    <mergeCell ref="L11:M11"/>
    <mergeCell ref="B24:C24"/>
    <mergeCell ref="J36:K36"/>
    <mergeCell ref="B26:C26"/>
    <mergeCell ref="B27:C27"/>
    <mergeCell ref="B28:C28"/>
    <mergeCell ref="B29:C29"/>
    <mergeCell ref="B30:C30"/>
    <mergeCell ref="B31:C31"/>
    <mergeCell ref="B25:C25"/>
  </mergeCells>
  <pageMargins left="0.25" right="0.25" top="1.135" bottom="0.75" header="0.3" footer="0.3"/>
  <pageSetup scale="60" orientation="landscape" r:id="rId1"/>
  <colBreaks count="1" manualBreakCount="1">
    <brk id="15" max="21" man="1"/>
  </colBreaks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0:P83"/>
  <sheetViews>
    <sheetView showGridLines="0" rightToLeft="1" zoomScaleNormal="100" workbookViewId="0">
      <pane xSplit="10" ySplit="11" topLeftCell="K12" activePane="bottomRight" state="frozen"/>
      <selection activeCell="D34" sqref="D34"/>
      <selection pane="topRight" activeCell="D34" sqref="D34"/>
      <selection pane="bottomLeft" activeCell="D34" sqref="D34"/>
      <selection pane="bottomRight" activeCell="H19" sqref="H19"/>
    </sheetView>
  </sheetViews>
  <sheetFormatPr defaultColWidth="9" defaultRowHeight="14.4"/>
  <cols>
    <col min="1" max="1" width="4.88671875" style="3" customWidth="1"/>
    <col min="2" max="2" width="16.33203125" style="3" customWidth="1"/>
    <col min="3" max="3" width="9" style="3"/>
    <col min="4" max="4" width="10.88671875" style="3" customWidth="1"/>
    <col min="5" max="5" width="11.33203125" style="3" customWidth="1"/>
    <col min="6" max="6" width="12" style="3" customWidth="1"/>
    <col min="7" max="7" width="10.88671875" style="3" customWidth="1"/>
    <col min="8" max="8" width="12.33203125" style="3" customWidth="1"/>
    <col min="9" max="9" width="13.109375" style="3" bestFit="1" customWidth="1"/>
    <col min="10" max="10" width="18.33203125" style="3" customWidth="1"/>
    <col min="11" max="11" width="9" style="3"/>
    <col min="12" max="13" width="10.44140625" style="3" customWidth="1"/>
    <col min="14" max="15" width="9" style="3"/>
    <col min="16" max="16" width="10.44140625" style="3" bestFit="1" customWidth="1"/>
    <col min="17" max="16384" width="9" style="3"/>
  </cols>
  <sheetData>
    <row r="10" spans="1:16" ht="24.6">
      <c r="A10" s="275" t="s">
        <v>36</v>
      </c>
      <c r="B10" s="275"/>
      <c r="C10" s="275"/>
      <c r="D10" s="275"/>
      <c r="E10" s="275"/>
      <c r="F10" s="275"/>
      <c r="G10" s="275"/>
      <c r="H10" s="275"/>
      <c r="I10" s="86"/>
      <c r="J10" s="86"/>
      <c r="K10" s="86"/>
    </row>
    <row r="11" spans="1:16" ht="24.9" customHeight="1">
      <c r="A11" s="87" t="s">
        <v>3</v>
      </c>
      <c r="B11" s="88" t="s">
        <v>4</v>
      </c>
      <c r="C11" s="87" t="s">
        <v>5</v>
      </c>
      <c r="D11" s="87" t="s">
        <v>6</v>
      </c>
      <c r="E11" s="87" t="s">
        <v>7</v>
      </c>
      <c r="F11" s="87" t="s">
        <v>8</v>
      </c>
      <c r="G11" s="87" t="s">
        <v>9</v>
      </c>
      <c r="H11" s="87" t="s">
        <v>10</v>
      </c>
      <c r="I11" s="87" t="s">
        <v>11</v>
      </c>
      <c r="J11" s="87" t="s">
        <v>38</v>
      </c>
      <c r="K11" s="119" t="s">
        <v>90</v>
      </c>
      <c r="L11" s="119" t="s">
        <v>91</v>
      </c>
      <c r="M11"/>
      <c r="O11" s="143" t="s">
        <v>95</v>
      </c>
      <c r="P11" s="143" t="s">
        <v>96</v>
      </c>
    </row>
    <row r="12" spans="1:16" ht="24.9" customHeight="1">
      <c r="A12" s="89">
        <v>1</v>
      </c>
      <c r="B12" s="90" t="str">
        <f t="shared" ref="B12:B41" si="0">IFERROR(TEXT(DATE($J$10,$I$10,$A12),"dd/mm/yyyy"),"")</f>
        <v/>
      </c>
      <c r="C12" s="91"/>
      <c r="D12" s="131"/>
      <c r="E12" s="131"/>
      <c r="F12" s="92" t="str">
        <f>IFERROR(IF((TSS[[#This Row],[MLSS]])&gt;0,TSS[[#This Row],[SV30]]*1000/TSS[[#This Row],[MLSS]],""),"")</f>
        <v/>
      </c>
      <c r="G12" s="131"/>
      <c r="H12" s="131"/>
      <c r="I12" s="131"/>
      <c r="J12" s="135"/>
      <c r="K12" s="120">
        <v>1</v>
      </c>
      <c r="L12" s="120">
        <v>1</v>
      </c>
      <c r="M12" s="115"/>
      <c r="O12" s="143"/>
      <c r="P12" s="143"/>
    </row>
    <row r="13" spans="1:16" ht="24.9" customHeight="1">
      <c r="A13" s="89">
        <v>2</v>
      </c>
      <c r="B13" s="90" t="str">
        <f t="shared" si="0"/>
        <v/>
      </c>
      <c r="C13" s="91"/>
      <c r="D13" s="131"/>
      <c r="E13" s="131"/>
      <c r="F13" s="92" t="str">
        <f>IFERROR(IF((TSS[[#This Row],[MLSS]])&gt;0,TSS[[#This Row],[SV30]]*1000/TSS[[#This Row],[MLSS]],""),"")</f>
        <v/>
      </c>
      <c r="G13" s="131"/>
      <c r="H13" s="131"/>
      <c r="I13" s="131"/>
      <c r="J13" s="135"/>
      <c r="K13" s="120">
        <v>1</v>
      </c>
      <c r="L13" s="121">
        <v>1</v>
      </c>
      <c r="M13" s="116"/>
      <c r="O13" s="143">
        <v>196.15135135135139</v>
      </c>
      <c r="P13" s="143">
        <v>1440</v>
      </c>
    </row>
    <row r="14" spans="1:16" ht="24.9" customHeight="1">
      <c r="A14" s="89">
        <v>3</v>
      </c>
      <c r="B14" s="90" t="str">
        <f t="shared" si="0"/>
        <v/>
      </c>
      <c r="C14" s="91"/>
      <c r="D14" s="131"/>
      <c r="E14" s="131"/>
      <c r="F14" s="92" t="str">
        <f>IFERROR(IF((TSS[[#This Row],[MLSS]])&gt;0,TSS[[#This Row],[SV30]]*1000/TSS[[#This Row],[MLSS]],""),"")</f>
        <v/>
      </c>
      <c r="G14" s="131"/>
      <c r="H14" s="131"/>
      <c r="I14" s="131"/>
      <c r="J14" s="135"/>
      <c r="K14" s="120">
        <v>1</v>
      </c>
      <c r="L14" s="121">
        <v>1</v>
      </c>
      <c r="M14" s="116"/>
      <c r="O14" s="143">
        <v>196.15135135135139</v>
      </c>
      <c r="P14" s="143">
        <v>1440</v>
      </c>
    </row>
    <row r="15" spans="1:16" ht="24.9" customHeight="1">
      <c r="A15" s="89">
        <v>4</v>
      </c>
      <c r="B15" s="90" t="str">
        <f t="shared" si="0"/>
        <v/>
      </c>
      <c r="C15" s="91"/>
      <c r="D15" s="131"/>
      <c r="E15" s="131"/>
      <c r="F15" s="92" t="str">
        <f>IFERROR(IF((TSS[[#This Row],[MLSS]])&gt;0,TSS[[#This Row],[SV30]]*1000/TSS[[#This Row],[MLSS]],""),"")</f>
        <v/>
      </c>
      <c r="G15" s="131"/>
      <c r="H15" s="131"/>
      <c r="I15" s="131"/>
      <c r="J15" s="135"/>
      <c r="K15" s="120">
        <v>1</v>
      </c>
      <c r="L15" s="121">
        <v>1</v>
      </c>
      <c r="M15" s="116"/>
      <c r="O15" s="143">
        <v>196.15135135135139</v>
      </c>
      <c r="P15" s="143">
        <v>1440</v>
      </c>
    </row>
    <row r="16" spans="1:16" ht="24.9" customHeight="1">
      <c r="A16" s="89">
        <v>5</v>
      </c>
      <c r="B16" s="90" t="str">
        <f t="shared" si="0"/>
        <v/>
      </c>
      <c r="C16" s="91"/>
      <c r="D16" s="131"/>
      <c r="E16" s="131"/>
      <c r="F16" s="92" t="str">
        <f>IFERROR(IF((TSS[[#This Row],[MLSS]])&gt;0,TSS[[#This Row],[SV30]]*1000/TSS[[#This Row],[MLSS]],""),"")</f>
        <v/>
      </c>
      <c r="G16" s="131"/>
      <c r="H16" s="131"/>
      <c r="I16" s="131"/>
      <c r="J16" s="135"/>
      <c r="K16" s="120">
        <v>1</v>
      </c>
      <c r="L16" s="121">
        <v>1</v>
      </c>
      <c r="M16" s="116"/>
      <c r="O16" s="143">
        <v>196.15135135135139</v>
      </c>
      <c r="P16" s="143">
        <v>2160</v>
      </c>
    </row>
    <row r="17" spans="1:16" ht="24.9" customHeight="1">
      <c r="A17" s="89">
        <v>6</v>
      </c>
      <c r="B17" s="90" t="str">
        <f t="shared" si="0"/>
        <v/>
      </c>
      <c r="C17" s="91"/>
      <c r="D17" s="131"/>
      <c r="E17" s="131"/>
      <c r="F17" s="92" t="str">
        <f>IFERROR(IF((TSS[[#This Row],[MLSS]])&gt;0,TSS[[#This Row],[SV30]]*1000/TSS[[#This Row],[MLSS]],""),"")</f>
        <v/>
      </c>
      <c r="G17" s="131"/>
      <c r="H17" s="131"/>
      <c r="I17" s="131"/>
      <c r="J17" s="135"/>
      <c r="K17" s="120">
        <v>1</v>
      </c>
      <c r="L17" s="121">
        <v>1</v>
      </c>
      <c r="M17" s="116"/>
      <c r="O17" s="143">
        <v>196.15135135135139</v>
      </c>
      <c r="P17" s="143">
        <v>1440</v>
      </c>
    </row>
    <row r="18" spans="1:16" ht="24.9" customHeight="1">
      <c r="A18" s="89">
        <v>7</v>
      </c>
      <c r="B18" s="90" t="str">
        <f t="shared" si="0"/>
        <v/>
      </c>
      <c r="C18" s="91"/>
      <c r="D18" s="131"/>
      <c r="E18" s="131"/>
      <c r="F18" s="92" t="str">
        <f>IFERROR(IF((TSS[[#This Row],[MLSS]])&gt;0,TSS[[#This Row],[SV30]]*1000/TSS[[#This Row],[MLSS]],""),"")</f>
        <v/>
      </c>
      <c r="G18" s="131"/>
      <c r="H18" s="131"/>
      <c r="I18" s="131"/>
      <c r="J18" s="135"/>
      <c r="K18" s="120">
        <v>1</v>
      </c>
      <c r="L18" s="121">
        <v>1</v>
      </c>
      <c r="M18" s="117"/>
      <c r="O18" s="143">
        <v>196.15135135135139</v>
      </c>
      <c r="P18" s="143">
        <v>1440</v>
      </c>
    </row>
    <row r="19" spans="1:16" ht="24.9" customHeight="1">
      <c r="A19" s="89">
        <v>8</v>
      </c>
      <c r="B19" s="90" t="str">
        <f t="shared" si="0"/>
        <v/>
      </c>
      <c r="C19" s="91"/>
      <c r="D19" s="131"/>
      <c r="E19" s="131"/>
      <c r="F19" s="92" t="str">
        <f>IFERROR(IF((TSS[[#This Row],[MLSS]])&gt;0,TSS[[#This Row],[SV30]]*1000/TSS[[#This Row],[MLSS]],""),"")</f>
        <v/>
      </c>
      <c r="G19" s="131"/>
      <c r="H19" s="131"/>
      <c r="I19" s="131"/>
      <c r="J19" s="135"/>
      <c r="K19" s="120"/>
      <c r="L19" s="121"/>
      <c r="M19" s="117"/>
      <c r="O19" s="143">
        <v>196.15135135135139</v>
      </c>
      <c r="P19" s="143"/>
    </row>
    <row r="20" spans="1:16" ht="24.9" customHeight="1">
      <c r="A20" s="89">
        <v>9</v>
      </c>
      <c r="B20" s="90" t="str">
        <f t="shared" si="0"/>
        <v/>
      </c>
      <c r="C20" s="91"/>
      <c r="D20" s="131"/>
      <c r="E20" s="131"/>
      <c r="F20" s="92" t="str">
        <f>IFERROR(IF((TSS[[#This Row],[MLSS]])&gt;0,TSS[[#This Row],[SV30]]*1000/TSS[[#This Row],[MLSS]],""),"")</f>
        <v/>
      </c>
      <c r="G20" s="131"/>
      <c r="H20" s="131"/>
      <c r="I20" s="131"/>
      <c r="J20" s="135"/>
      <c r="K20" s="120">
        <v>1</v>
      </c>
      <c r="L20" s="121">
        <v>1</v>
      </c>
      <c r="M20" s="117"/>
      <c r="O20" s="143">
        <v>196.15135135135139</v>
      </c>
      <c r="P20" s="143">
        <v>55.741935483870968</v>
      </c>
    </row>
    <row r="21" spans="1:16" ht="24.9" customHeight="1">
      <c r="A21" s="89">
        <v>10</v>
      </c>
      <c r="B21" s="90" t="str">
        <f t="shared" si="0"/>
        <v/>
      </c>
      <c r="C21" s="91"/>
      <c r="D21" s="131"/>
      <c r="E21" s="131"/>
      <c r="F21" s="92" t="str">
        <f>IFERROR(IF((TSS[[#This Row],[MLSS]])&gt;0,TSS[[#This Row],[SV30]]*1000/TSS[[#This Row],[MLSS]],""),"")</f>
        <v/>
      </c>
      <c r="G21" s="131"/>
      <c r="H21" s="131"/>
      <c r="I21" s="131"/>
      <c r="J21" s="135"/>
      <c r="K21" s="120">
        <v>1</v>
      </c>
      <c r="L21" s="121">
        <v>1</v>
      </c>
      <c r="M21" s="117"/>
      <c r="O21" s="143">
        <v>196.15135135135139</v>
      </c>
      <c r="P21" s="143">
        <v>55.741935483870968</v>
      </c>
    </row>
    <row r="22" spans="1:16" ht="24.9" customHeight="1">
      <c r="A22" s="89">
        <v>11</v>
      </c>
      <c r="B22" s="90" t="str">
        <f t="shared" si="0"/>
        <v/>
      </c>
      <c r="C22" s="91"/>
      <c r="D22" s="131"/>
      <c r="E22" s="131"/>
      <c r="F22" s="92" t="str">
        <f>IFERROR(IF((TSS[[#This Row],[MLSS]])&gt;0,TSS[[#This Row],[SV30]]*1000/TSS[[#This Row],[MLSS]],""),"")</f>
        <v/>
      </c>
      <c r="G22" s="131"/>
      <c r="H22" s="131"/>
      <c r="I22" s="131"/>
      <c r="J22" s="135"/>
      <c r="K22" s="120">
        <v>1</v>
      </c>
      <c r="L22" s="121">
        <v>1</v>
      </c>
      <c r="M22" s="117"/>
      <c r="O22" s="143">
        <v>196.15135135135139</v>
      </c>
      <c r="P22" s="143">
        <v>55.741935483870968</v>
      </c>
    </row>
    <row r="23" spans="1:16" ht="24.9" customHeight="1">
      <c r="A23" s="89">
        <v>12</v>
      </c>
      <c r="B23" s="90" t="str">
        <f t="shared" si="0"/>
        <v/>
      </c>
      <c r="C23" s="91"/>
      <c r="D23" s="131"/>
      <c r="E23" s="131"/>
      <c r="F23" s="92" t="str">
        <f>IFERROR(IF((TSS[[#This Row],[MLSS]])&gt;0,TSS[[#This Row],[SV30]]*1000/TSS[[#This Row],[MLSS]],""),"")</f>
        <v/>
      </c>
      <c r="G23" s="131"/>
      <c r="H23" s="131"/>
      <c r="I23" s="131"/>
      <c r="J23" s="135"/>
      <c r="K23" s="120">
        <v>1</v>
      </c>
      <c r="L23" s="121">
        <v>1</v>
      </c>
      <c r="M23" s="117"/>
      <c r="O23" s="143">
        <v>196.15135135135139</v>
      </c>
      <c r="P23" s="143">
        <v>55.741935483870968</v>
      </c>
    </row>
    <row r="24" spans="1:16" ht="24.9" customHeight="1">
      <c r="A24" s="89">
        <v>13</v>
      </c>
      <c r="B24" s="90" t="str">
        <f t="shared" si="0"/>
        <v/>
      </c>
      <c r="C24" s="91"/>
      <c r="D24" s="131"/>
      <c r="E24" s="131"/>
      <c r="F24" s="92" t="str">
        <f>IFERROR(IF((TSS[[#This Row],[MLSS]])&gt;0,TSS[[#This Row],[SV30]]*1000/TSS[[#This Row],[MLSS]],""),"")</f>
        <v/>
      </c>
      <c r="G24" s="131"/>
      <c r="H24" s="131"/>
      <c r="I24" s="131"/>
      <c r="J24" s="135"/>
      <c r="K24" s="120">
        <v>1</v>
      </c>
      <c r="L24" s="121">
        <v>1</v>
      </c>
      <c r="M24" s="117"/>
      <c r="O24" s="143">
        <v>196.15135135135139</v>
      </c>
      <c r="P24" s="143">
        <v>55.741935483870968</v>
      </c>
    </row>
    <row r="25" spans="1:16" ht="24.9" customHeight="1">
      <c r="A25" s="89">
        <v>14</v>
      </c>
      <c r="B25" s="90" t="str">
        <f t="shared" si="0"/>
        <v/>
      </c>
      <c r="C25" s="91"/>
      <c r="D25" s="131"/>
      <c r="E25" s="131"/>
      <c r="F25" s="92" t="str">
        <f>IFERROR(IF((TSS[[#This Row],[MLSS]])&gt;0,TSS[[#This Row],[SV30]]*1000/TSS[[#This Row],[MLSS]],""),"")</f>
        <v/>
      </c>
      <c r="G25" s="131"/>
      <c r="H25" s="131"/>
      <c r="I25" s="131"/>
      <c r="J25" s="135"/>
      <c r="K25" s="120">
        <v>1</v>
      </c>
      <c r="L25" s="121">
        <v>1</v>
      </c>
      <c r="M25" s="117"/>
      <c r="O25" s="143">
        <v>196.15135135135139</v>
      </c>
      <c r="P25" s="143">
        <v>55.741935483870968</v>
      </c>
    </row>
    <row r="26" spans="1:16" ht="24.9" customHeight="1">
      <c r="A26" s="89">
        <v>15</v>
      </c>
      <c r="B26" s="90" t="str">
        <f t="shared" si="0"/>
        <v/>
      </c>
      <c r="C26" s="91"/>
      <c r="D26" s="131"/>
      <c r="E26" s="131"/>
      <c r="F26" s="92" t="str">
        <f>IFERROR(IF((TSS[[#This Row],[MLSS]])&gt;0,TSS[[#This Row],[SV30]]*1000/TSS[[#This Row],[MLSS]],""),"")</f>
        <v/>
      </c>
      <c r="G26" s="131"/>
      <c r="H26" s="131"/>
      <c r="I26" s="131"/>
      <c r="J26" s="135"/>
      <c r="K26" s="120">
        <v>1</v>
      </c>
      <c r="L26" s="121">
        <v>1</v>
      </c>
      <c r="M26" s="117"/>
      <c r="O26" s="143"/>
      <c r="P26" s="143"/>
    </row>
    <row r="27" spans="1:16" ht="24.9" customHeight="1">
      <c r="A27" s="89">
        <v>16</v>
      </c>
      <c r="B27" s="90" t="str">
        <f t="shared" si="0"/>
        <v/>
      </c>
      <c r="C27" s="91"/>
      <c r="D27" s="131"/>
      <c r="E27" s="131"/>
      <c r="F27" s="92" t="str">
        <f>IFERROR(IF((TSS[[#This Row],[MLSS]])&gt;0,TSS[[#This Row],[SV30]]*1000/TSS[[#This Row],[MLSS]],""),"")</f>
        <v/>
      </c>
      <c r="G27" s="131"/>
      <c r="H27" s="131"/>
      <c r="I27" s="131"/>
      <c r="J27" s="135"/>
      <c r="K27" s="120">
        <v>1</v>
      </c>
      <c r="L27" s="121">
        <v>1</v>
      </c>
      <c r="M27" s="117"/>
      <c r="O27" s="143">
        <v>196.15135135135139</v>
      </c>
      <c r="P27" s="143">
        <v>55.741935483870968</v>
      </c>
    </row>
    <row r="28" spans="1:16" ht="24.9" customHeight="1">
      <c r="A28" s="89">
        <v>17</v>
      </c>
      <c r="B28" s="90" t="str">
        <f t="shared" si="0"/>
        <v/>
      </c>
      <c r="C28" s="91"/>
      <c r="D28" s="131"/>
      <c r="E28" s="131"/>
      <c r="F28" s="92" t="str">
        <f>IFERROR(IF((TSS[[#This Row],[MLSS]])&gt;0,TSS[[#This Row],[SV30]]*1000/TSS[[#This Row],[MLSS]],""),"")</f>
        <v/>
      </c>
      <c r="G28" s="131"/>
      <c r="H28" s="131"/>
      <c r="I28" s="131"/>
      <c r="J28" s="135"/>
      <c r="K28" s="120">
        <v>1</v>
      </c>
      <c r="L28" s="121">
        <v>1</v>
      </c>
      <c r="M28" s="117"/>
      <c r="O28" s="143"/>
      <c r="P28" s="143"/>
    </row>
    <row r="29" spans="1:16" ht="24.9" customHeight="1">
      <c r="A29" s="89">
        <v>18</v>
      </c>
      <c r="B29" s="90" t="str">
        <f t="shared" si="0"/>
        <v/>
      </c>
      <c r="C29" s="91"/>
      <c r="D29" s="131"/>
      <c r="E29" s="131"/>
      <c r="F29" s="92" t="str">
        <f>IFERROR(IF((TSS[[#This Row],[MLSS]])&gt;0,TSS[[#This Row],[SV30]]*1000/TSS[[#This Row],[MLSS]],""),"")</f>
        <v/>
      </c>
      <c r="G29" s="131"/>
      <c r="H29" s="131"/>
      <c r="I29" s="131"/>
      <c r="J29" s="135"/>
      <c r="K29" s="120">
        <v>1</v>
      </c>
      <c r="L29" s="121">
        <v>1</v>
      </c>
      <c r="M29" s="117"/>
      <c r="O29" s="143">
        <v>196.15135135135139</v>
      </c>
      <c r="P29" s="143">
        <v>1440</v>
      </c>
    </row>
    <row r="30" spans="1:16" ht="24.9" customHeight="1">
      <c r="A30" s="89">
        <v>19</v>
      </c>
      <c r="B30" s="90" t="str">
        <f t="shared" si="0"/>
        <v/>
      </c>
      <c r="C30" s="91"/>
      <c r="D30" s="131"/>
      <c r="E30" s="131"/>
      <c r="F30" s="92" t="str">
        <f>IFERROR(IF((TSS[[#This Row],[MLSS]])&gt;0,TSS[[#This Row],[SV30]]*1000/TSS[[#This Row],[MLSS]],""),"")</f>
        <v/>
      </c>
      <c r="G30" s="131"/>
      <c r="H30" s="131"/>
      <c r="I30" s="131"/>
      <c r="J30" s="135"/>
      <c r="K30" s="120">
        <v>1</v>
      </c>
      <c r="L30" s="121">
        <v>1</v>
      </c>
      <c r="M30" s="117"/>
      <c r="O30" s="143">
        <v>196.15135135135139</v>
      </c>
      <c r="P30" s="143">
        <v>1440</v>
      </c>
    </row>
    <row r="31" spans="1:16" ht="24.9" customHeight="1">
      <c r="A31" s="89">
        <v>20</v>
      </c>
      <c r="B31" s="90" t="str">
        <f t="shared" si="0"/>
        <v/>
      </c>
      <c r="C31" s="91"/>
      <c r="D31" s="131"/>
      <c r="E31" s="131"/>
      <c r="F31" s="92" t="str">
        <f>IFERROR(IF((TSS[[#This Row],[MLSS]])&gt;0,TSS[[#This Row],[SV30]]*1000/TSS[[#This Row],[MLSS]],""),"")</f>
        <v/>
      </c>
      <c r="G31" s="131"/>
      <c r="H31" s="131"/>
      <c r="I31" s="131"/>
      <c r="J31" s="135"/>
      <c r="K31" s="120">
        <v>1</v>
      </c>
      <c r="L31" s="121">
        <v>1</v>
      </c>
      <c r="M31" s="117"/>
      <c r="O31" s="143">
        <v>196.15135135135139</v>
      </c>
      <c r="P31" s="143">
        <v>1440</v>
      </c>
    </row>
    <row r="32" spans="1:16" ht="24.9" customHeight="1">
      <c r="A32" s="89">
        <v>21</v>
      </c>
      <c r="B32" s="90" t="str">
        <f t="shared" si="0"/>
        <v/>
      </c>
      <c r="C32" s="91"/>
      <c r="D32" s="131"/>
      <c r="E32" s="131"/>
      <c r="F32" s="92" t="str">
        <f>IFERROR(IF((TSS[[#This Row],[MLSS]])&gt;0,TSS[[#This Row],[SV30]]*1000/TSS[[#This Row],[MLSS]],""),"")</f>
        <v/>
      </c>
      <c r="G32" s="131"/>
      <c r="H32" s="131"/>
      <c r="I32" s="131"/>
      <c r="J32" s="135"/>
      <c r="K32" s="120">
        <v>1</v>
      </c>
      <c r="L32" s="121">
        <v>1</v>
      </c>
      <c r="M32" s="117"/>
      <c r="O32" s="143">
        <v>196.15135135135139</v>
      </c>
      <c r="P32" s="143">
        <v>1440</v>
      </c>
    </row>
    <row r="33" spans="1:16" ht="24.9" customHeight="1">
      <c r="A33" s="89">
        <v>22</v>
      </c>
      <c r="B33" s="90" t="str">
        <f t="shared" si="0"/>
        <v/>
      </c>
      <c r="C33" s="91"/>
      <c r="D33" s="131"/>
      <c r="E33" s="131"/>
      <c r="F33" s="92" t="str">
        <f>IFERROR(IF((TSS[[#This Row],[MLSS]])&gt;0,TSS[[#This Row],[SV30]]*1000/TSS[[#This Row],[MLSS]],""),"")</f>
        <v/>
      </c>
      <c r="G33" s="131"/>
      <c r="H33" s="131"/>
      <c r="I33" s="131"/>
      <c r="J33" s="135"/>
      <c r="K33" s="120">
        <v>1</v>
      </c>
      <c r="L33" s="121">
        <v>1</v>
      </c>
      <c r="M33" s="117"/>
      <c r="O33" s="143"/>
      <c r="P33" s="143"/>
    </row>
    <row r="34" spans="1:16" ht="24.9" customHeight="1">
      <c r="A34" s="89">
        <v>23</v>
      </c>
      <c r="B34" s="90" t="str">
        <f t="shared" si="0"/>
        <v/>
      </c>
      <c r="C34" s="91"/>
      <c r="D34" s="131"/>
      <c r="E34" s="131"/>
      <c r="F34" s="92" t="str">
        <f>IFERROR(IF((TSS[[#This Row],[MLSS]])&gt;0,TSS[[#This Row],[SV30]]*1000/TSS[[#This Row],[MLSS]],""),"")</f>
        <v/>
      </c>
      <c r="G34" s="131"/>
      <c r="H34" s="131"/>
      <c r="I34" s="131"/>
      <c r="J34" s="135"/>
      <c r="K34" s="120">
        <v>1</v>
      </c>
      <c r="L34" s="121">
        <v>1</v>
      </c>
      <c r="M34" s="117"/>
      <c r="O34" s="143"/>
      <c r="P34" s="143"/>
    </row>
    <row r="35" spans="1:16" ht="24.9" customHeight="1">
      <c r="A35" s="89">
        <v>24</v>
      </c>
      <c r="B35" s="90" t="str">
        <f t="shared" si="0"/>
        <v/>
      </c>
      <c r="C35" s="91"/>
      <c r="D35" s="131"/>
      <c r="E35" s="131"/>
      <c r="F35" s="92" t="str">
        <f>IFERROR(IF((TSS[[#This Row],[MLSS]])&gt;0,TSS[[#This Row],[SV30]]*1000/TSS[[#This Row],[MLSS]],""),"")</f>
        <v/>
      </c>
      <c r="G35" s="131"/>
      <c r="H35" s="131"/>
      <c r="I35" s="131"/>
      <c r="J35" s="135"/>
      <c r="K35" s="120">
        <v>1</v>
      </c>
      <c r="L35" s="121">
        <v>1</v>
      </c>
      <c r="M35" s="117"/>
      <c r="O35" s="143">
        <v>196.15135135135139</v>
      </c>
      <c r="P35" s="143">
        <v>1440</v>
      </c>
    </row>
    <row r="36" spans="1:16" ht="24.9" customHeight="1">
      <c r="A36" s="89">
        <v>25</v>
      </c>
      <c r="B36" s="90" t="str">
        <f t="shared" si="0"/>
        <v/>
      </c>
      <c r="C36" s="91"/>
      <c r="D36" s="131"/>
      <c r="E36" s="131"/>
      <c r="F36" s="92" t="str">
        <f>IFERROR(IF((TSS[[#This Row],[MLSS]])&gt;0,TSS[[#This Row],[SV30]]*1000/TSS[[#This Row],[MLSS]],""),"")</f>
        <v/>
      </c>
      <c r="G36" s="131"/>
      <c r="H36" s="131"/>
      <c r="I36" s="131"/>
      <c r="J36" s="135"/>
      <c r="K36" s="120">
        <v>1</v>
      </c>
      <c r="L36" s="121">
        <v>1</v>
      </c>
      <c r="M36" s="117"/>
      <c r="O36" s="143"/>
      <c r="P36" s="143"/>
    </row>
    <row r="37" spans="1:16" ht="24.9" customHeight="1">
      <c r="A37" s="89">
        <v>26</v>
      </c>
      <c r="B37" s="90" t="str">
        <f t="shared" si="0"/>
        <v/>
      </c>
      <c r="C37" s="91"/>
      <c r="D37" s="131"/>
      <c r="E37" s="131"/>
      <c r="F37" s="92" t="str">
        <f>IFERROR(IF((TSS[[#This Row],[MLSS]])&gt;0,TSS[[#This Row],[SV30]]*1000/TSS[[#This Row],[MLSS]],""),"")</f>
        <v/>
      </c>
      <c r="G37" s="131"/>
      <c r="H37" s="131"/>
      <c r="I37" s="131"/>
      <c r="J37" s="135"/>
      <c r="K37" s="120">
        <v>1</v>
      </c>
      <c r="L37" s="121">
        <v>1</v>
      </c>
      <c r="M37" s="117"/>
      <c r="O37" s="143"/>
      <c r="P37" s="143"/>
    </row>
    <row r="38" spans="1:16" ht="24.9" customHeight="1">
      <c r="A38" s="89">
        <v>27</v>
      </c>
      <c r="B38" s="90" t="str">
        <f t="shared" si="0"/>
        <v/>
      </c>
      <c r="C38" s="91"/>
      <c r="D38" s="131"/>
      <c r="E38" s="131"/>
      <c r="F38" s="92" t="str">
        <f>IFERROR(IF((TSS[[#This Row],[MLSS]])&gt;0,TSS[[#This Row],[SV30]]*1000/TSS[[#This Row],[MLSS]],""),"")</f>
        <v/>
      </c>
      <c r="G38" s="131"/>
      <c r="H38" s="131"/>
      <c r="I38" s="131"/>
      <c r="J38" s="135"/>
      <c r="K38" s="120">
        <v>1</v>
      </c>
      <c r="L38" s="121">
        <v>1</v>
      </c>
      <c r="M38" s="117"/>
      <c r="O38" s="143"/>
      <c r="P38" s="143"/>
    </row>
    <row r="39" spans="1:16" ht="24.9" customHeight="1">
      <c r="A39" s="89">
        <v>28</v>
      </c>
      <c r="B39" s="90" t="str">
        <f t="shared" si="0"/>
        <v/>
      </c>
      <c r="C39" s="91"/>
      <c r="D39" s="131"/>
      <c r="E39" s="131"/>
      <c r="F39" s="92" t="str">
        <f>IFERROR(IF((TSS[[#This Row],[MLSS]])&gt;0,TSS[[#This Row],[SV30]]*1000/TSS[[#This Row],[MLSS]],""),"")</f>
        <v/>
      </c>
      <c r="G39" s="131"/>
      <c r="H39" s="131"/>
      <c r="I39" s="131"/>
      <c r="J39" s="135"/>
      <c r="K39" s="120">
        <v>1</v>
      </c>
      <c r="L39" s="121">
        <v>1</v>
      </c>
      <c r="M39" s="117"/>
      <c r="O39" s="143"/>
      <c r="P39" s="143"/>
    </row>
    <row r="40" spans="1:16" ht="24.9" customHeight="1">
      <c r="A40" s="89">
        <v>29</v>
      </c>
      <c r="B40" s="90" t="str">
        <f t="shared" si="0"/>
        <v/>
      </c>
      <c r="C40" s="91"/>
      <c r="D40" s="131"/>
      <c r="E40" s="131"/>
      <c r="F40" s="92" t="str">
        <f>IFERROR(IF((TSS[[#This Row],[MLSS]])&gt;0,TSS[[#This Row],[SV30]]*1000/TSS[[#This Row],[MLSS]],""),"")</f>
        <v/>
      </c>
      <c r="G40" s="131"/>
      <c r="H40" s="131"/>
      <c r="I40" s="131"/>
      <c r="J40" s="135"/>
      <c r="K40" s="120">
        <v>1</v>
      </c>
      <c r="L40" s="121">
        <v>1</v>
      </c>
      <c r="M40" s="117"/>
      <c r="O40" s="143"/>
      <c r="P40" s="143"/>
    </row>
    <row r="41" spans="1:16" ht="24.9" customHeight="1">
      <c r="A41" s="89">
        <v>30</v>
      </c>
      <c r="B41" s="90" t="str">
        <f t="shared" si="0"/>
        <v/>
      </c>
      <c r="C41" s="91"/>
      <c r="D41" s="131"/>
      <c r="E41" s="131"/>
      <c r="F41" s="92" t="str">
        <f>IFERROR(IF((TSS[[#This Row],[MLSS]])&gt;0,TSS[[#This Row],[SV30]]*1000/TSS[[#This Row],[MLSS]],""),"")</f>
        <v/>
      </c>
      <c r="G41" s="131"/>
      <c r="H41" s="131"/>
      <c r="I41" s="131"/>
      <c r="J41" s="135"/>
      <c r="K41" s="120">
        <v>1</v>
      </c>
      <c r="L41" s="121">
        <v>1</v>
      </c>
      <c r="M41" s="117"/>
      <c r="O41" s="143"/>
      <c r="P41" s="143"/>
    </row>
    <row r="42" spans="1:16" ht="24.9" customHeight="1">
      <c r="A42" s="93"/>
      <c r="B42" s="93" t="s">
        <v>12</v>
      </c>
      <c r="C42" s="94">
        <f>IFERROR(SUBTOTAL(105,TSS[DO]),"")</f>
        <v>0</v>
      </c>
      <c r="D42" s="132">
        <f>IFERROR(SUBTOTAL(105,TSS[SV30]),"")</f>
        <v>0</v>
      </c>
      <c r="E42" s="132">
        <f>IFERROR(SUBTOTAL(105,TSS[MLSS]),"")</f>
        <v>0</v>
      </c>
      <c r="F42" s="94">
        <f>IFERROR(SUBTOTAL(105,TSS[SVI]),"")</f>
        <v>0</v>
      </c>
      <c r="G42" s="132">
        <f>IFERROR(SUBTOTAL(105,TSS[VSS]),"")</f>
        <v>0</v>
      </c>
      <c r="H42" s="132">
        <f>IFERROR(SUBTOTAL(105,TSS[RAS]),"")</f>
        <v>0</v>
      </c>
      <c r="I42" s="132">
        <f>IFERROR(SUBTOTAL(105,TSS[Thickner]),"")</f>
        <v>0</v>
      </c>
      <c r="J42" s="128">
        <f>IFERROR(SUBTOTAL(105,TSS[Dry Sludge TS %]),"")</f>
        <v>0</v>
      </c>
      <c r="K42" s="118"/>
      <c r="L42" s="118"/>
      <c r="O42" s="143"/>
      <c r="P42" s="143"/>
    </row>
    <row r="43" spans="1:16" ht="24.9" customHeight="1" thickBot="1">
      <c r="A43" s="95"/>
      <c r="B43" s="95" t="s">
        <v>13</v>
      </c>
      <c r="C43" s="96">
        <f t="shared" ref="C43:J43" si="1">IFERROR(SUBTOTAL(104,C12:C41),"")</f>
        <v>0</v>
      </c>
      <c r="D43" s="133">
        <f t="shared" si="1"/>
        <v>0</v>
      </c>
      <c r="E43" s="133">
        <f t="shared" si="1"/>
        <v>0</v>
      </c>
      <c r="F43" s="96">
        <f t="shared" si="1"/>
        <v>0</v>
      </c>
      <c r="G43" s="133">
        <f t="shared" si="1"/>
        <v>0</v>
      </c>
      <c r="H43" s="133">
        <f t="shared" si="1"/>
        <v>0</v>
      </c>
      <c r="I43" s="133">
        <f t="shared" si="1"/>
        <v>0</v>
      </c>
      <c r="J43" s="129">
        <f t="shared" si="1"/>
        <v>0</v>
      </c>
      <c r="K43" s="5"/>
      <c r="L43" s="5"/>
      <c r="O43" s="143"/>
      <c r="P43" s="143"/>
    </row>
    <row r="44" spans="1:16" ht="24.9" customHeight="1" thickTop="1">
      <c r="A44" s="97"/>
      <c r="B44" s="97" t="s">
        <v>0</v>
      </c>
      <c r="C44" s="98" t="str">
        <f t="shared" ref="C44:J44" si="2">IFERROR(SUBTOTAL(101,C12:C41),"")</f>
        <v/>
      </c>
      <c r="D44" s="134" t="str">
        <f t="shared" si="2"/>
        <v/>
      </c>
      <c r="E44" s="134" t="str">
        <f t="shared" si="2"/>
        <v/>
      </c>
      <c r="F44" s="98" t="str">
        <f t="shared" si="2"/>
        <v/>
      </c>
      <c r="G44" s="134" t="str">
        <f t="shared" si="2"/>
        <v/>
      </c>
      <c r="H44" s="134" t="str">
        <f t="shared" si="2"/>
        <v/>
      </c>
      <c r="I44" s="134" t="str">
        <f t="shared" si="2"/>
        <v/>
      </c>
      <c r="J44" s="130" t="str">
        <f t="shared" si="2"/>
        <v/>
      </c>
      <c r="L44" s="99"/>
      <c r="O44" s="142">
        <f>IFERROR(SUBTOTAL(101,O12:O41),"")</f>
        <v>196.15135135135139</v>
      </c>
      <c r="P44" s="142">
        <f>IFERROR(SUBTOTAL(101,P12:P41),"")</f>
        <v>941.67741935483878</v>
      </c>
    </row>
    <row r="45" spans="1:16">
      <c r="A45" s="274"/>
      <c r="B45" s="274"/>
    </row>
    <row r="46" spans="1:16">
      <c r="H46" s="100" t="s">
        <v>35</v>
      </c>
      <c r="I46" s="100" t="s">
        <v>14</v>
      </c>
    </row>
    <row r="50" spans="6:6">
      <c r="F50" s="5"/>
    </row>
    <row r="51" spans="6:6">
      <c r="F51" s="5"/>
    </row>
    <row r="52" spans="6:6">
      <c r="F52" s="5"/>
    </row>
    <row r="53" spans="6:6">
      <c r="F53" s="5"/>
    </row>
    <row r="54" spans="6:6">
      <c r="F54" s="5"/>
    </row>
    <row r="55" spans="6:6">
      <c r="F55" s="5"/>
    </row>
    <row r="56" spans="6:6">
      <c r="F56" s="5"/>
    </row>
    <row r="57" spans="6:6">
      <c r="F57" s="5"/>
    </row>
    <row r="58" spans="6:6">
      <c r="F58" s="5"/>
    </row>
    <row r="59" spans="6:6">
      <c r="F59" s="5"/>
    </row>
    <row r="60" spans="6:6">
      <c r="F60" s="5"/>
    </row>
    <row r="61" spans="6:6">
      <c r="F61" s="5"/>
    </row>
    <row r="62" spans="6:6">
      <c r="F62" s="5"/>
    </row>
    <row r="63" spans="6:6">
      <c r="F63" s="5"/>
    </row>
    <row r="64" spans="6:6">
      <c r="F64" s="5"/>
    </row>
    <row r="65" spans="6:6">
      <c r="F65" s="5"/>
    </row>
    <row r="66" spans="6:6">
      <c r="F66" s="5"/>
    </row>
    <row r="67" spans="6:6">
      <c r="F67" s="5"/>
    </row>
    <row r="68" spans="6:6">
      <c r="F68" s="5"/>
    </row>
    <row r="69" spans="6:6">
      <c r="F69" s="5"/>
    </row>
    <row r="70" spans="6:6">
      <c r="F70" s="5"/>
    </row>
    <row r="71" spans="6:6">
      <c r="F71" s="5"/>
    </row>
    <row r="72" spans="6:6">
      <c r="F72" s="5"/>
    </row>
    <row r="73" spans="6:6">
      <c r="F73" s="5"/>
    </row>
    <row r="74" spans="6:6">
      <c r="F74" s="5"/>
    </row>
    <row r="75" spans="6:6">
      <c r="F75" s="5"/>
    </row>
    <row r="76" spans="6:6">
      <c r="F76" s="5"/>
    </row>
    <row r="77" spans="6:6">
      <c r="F77" s="5"/>
    </row>
    <row r="78" spans="6:6">
      <c r="F78" s="5"/>
    </row>
    <row r="79" spans="6:6">
      <c r="F79" s="5"/>
    </row>
    <row r="80" spans="6:6">
      <c r="F80" s="5"/>
    </row>
    <row r="81" spans="6:6">
      <c r="F81" s="5"/>
    </row>
    <row r="82" spans="6:6">
      <c r="F82" s="9"/>
    </row>
    <row r="83" spans="6:6">
      <c r="F83" s="5"/>
    </row>
  </sheetData>
  <sheetProtection algorithmName="SHA-512" hashValue="Ip7MuJehUtnOGOpAEZ1HFOncnePT3X6vJQw99WL1nusGZr2Hm6qLBqOVFX09SLgiGRzOAywK4csffQYbSVaMfA==" saltValue="/kkVjDPbNULRm/TR1RCNyA==" spinCount="100000" sheet="1" formatCells="0" formatColumns="0" formatRows="0" insertHyperlinks="0"/>
  <mergeCells count="2">
    <mergeCell ref="A45:B45"/>
    <mergeCell ref="A10:H10"/>
  </mergeCells>
  <conditionalFormatting sqref="B12">
    <cfRule type="expression" dxfId="28" priority="2">
      <formula>"MONTH(B)&gt;MONTH(EOMONTH(TODAY();-1)+1)"</formula>
    </cfRule>
  </conditionalFormatting>
  <pageMargins left="0.70866141732283505" right="0.70866141732283505" top="0.74803149606299202" bottom="0.74803149606299202" header="0.31496062992126" footer="0.31496062992126"/>
  <pageSetup paperSize="9" scale="68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Main</vt:lpstr>
      <vt:lpstr>الاحصائية</vt:lpstr>
      <vt:lpstr>الاحصائية (2)</vt:lpstr>
      <vt:lpstr>تقرير المواد الصلبة</vt:lpstr>
      <vt:lpstr>Main!Print_Area</vt:lpstr>
      <vt:lpstr>الاحصائية!Print_Area</vt:lpstr>
      <vt:lpstr>'الاحصائية (2)'!Print_Area</vt:lpstr>
      <vt:lpstr>'تقرير المواد الصلبة'!Print_Area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dell</cp:lastModifiedBy>
  <cp:lastPrinted>2022-11-05T09:57:16Z</cp:lastPrinted>
  <dcterms:created xsi:type="dcterms:W3CDTF">2017-12-14T07:11:17Z</dcterms:created>
  <dcterms:modified xsi:type="dcterms:W3CDTF">2026-02-11T18:10:36Z</dcterms:modified>
</cp:coreProperties>
</file>