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20" yWindow="-120" windowWidth="25440" windowHeight="15396" activeTab="3"/>
  </bookViews>
  <sheets>
    <sheet name="Main" sheetId="1" r:id="rId1"/>
    <sheet name="Sample" sheetId="46" r:id="rId2"/>
    <sheet name="X bar Chart" sheetId="6" r:id="rId3"/>
    <sheet name="X bar Graph" sheetId="38" r:id="rId4"/>
  </sheets>
  <externalReferences>
    <externalReference r:id="rId5"/>
  </externalReferences>
  <definedNames>
    <definedName name="Date">OFFSET('X bar Chart'!$A$2,0,0,COUNTA('X bar Chart'!$A$2:$A$21))</definedName>
    <definedName name="DATE1" localSheetId="1">OFFSET(#REF!,0,0,COUNTA(#REF!))</definedName>
    <definedName name="HistData4">[1]Histogram!$A$1:$A$65536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'X bar Chart'!$A$1:$M$28</definedName>
    <definedName name="_xlnm.Print_Area" localSheetId="3">'X bar Graph'!$A$1:$S$39</definedName>
    <definedName name="Range" localSheetId="1">OFFSET(#REF!,0,0,COUNTA(#REF!))</definedName>
    <definedName name="X_BAR">OFFSET('X bar Chart'!$B$2,0,0,COUNTA('X bar Chart'!$B$2:$B$21))</definedName>
  </definedNames>
  <calcPr calcId="162913"/>
</workbook>
</file>

<file path=xl/calcChain.xml><?xml version="1.0" encoding="utf-8"?>
<calcChain xmlns="http://schemas.openxmlformats.org/spreadsheetml/2006/main">
  <c r="V12" i="38" l="1"/>
  <c r="B11" i="6"/>
  <c r="B4" i="6"/>
  <c r="A13" i="6"/>
  <c r="B21" i="6"/>
  <c r="K7" i="6"/>
  <c r="K16" i="6"/>
  <c r="L12" i="6"/>
  <c r="K13" i="6"/>
  <c r="L10" i="6"/>
  <c r="B2" i="6"/>
  <c r="A4" i="6"/>
  <c r="L7" i="6"/>
  <c r="K9" i="6"/>
  <c r="A15" i="6"/>
  <c r="L3" i="6"/>
  <c r="K10" i="6"/>
  <c r="A12" i="6"/>
  <c r="B9" i="6"/>
  <c r="L19" i="6"/>
  <c r="L2" i="6"/>
  <c r="A5" i="6"/>
  <c r="K8" i="6"/>
  <c r="K18" i="6"/>
  <c r="A20" i="6"/>
  <c r="K12" i="6"/>
  <c r="L6" i="6"/>
  <c r="A3" i="6"/>
  <c r="B15" i="6"/>
  <c r="B8" i="6"/>
  <c r="A17" i="6"/>
  <c r="B10" i="6"/>
  <c r="K11" i="6"/>
  <c r="K20" i="6"/>
  <c r="L16" i="6"/>
  <c r="L13" i="6"/>
  <c r="L14" i="6"/>
  <c r="A2" i="6"/>
  <c r="B16" i="6"/>
  <c r="A10" i="6"/>
  <c r="K6" i="6"/>
  <c r="A8" i="6"/>
  <c r="A14" i="6"/>
  <c r="K21" i="6"/>
  <c r="A19" i="6"/>
  <c r="A18" i="6"/>
  <c r="L17" i="6"/>
  <c r="B3" i="6"/>
  <c r="B13" i="6"/>
  <c r="L4" i="6"/>
  <c r="K2" i="6"/>
  <c r="B17" i="6"/>
  <c r="L8" i="6"/>
  <c r="V16" i="38"/>
  <c r="A7" i="6"/>
  <c r="B19" i="6"/>
  <c r="B12" i="6"/>
  <c r="A21" i="6"/>
  <c r="A6" i="6"/>
  <c r="K15" i="6"/>
  <c r="K17" i="6"/>
  <c r="L20" i="6"/>
  <c r="L5" i="6"/>
  <c r="L18" i="6"/>
  <c r="A11" i="6"/>
  <c r="B14" i="6"/>
  <c r="L9" i="6"/>
  <c r="K19" i="6"/>
  <c r="B20" i="6"/>
  <c r="B5" i="6"/>
  <c r="L21" i="6"/>
  <c r="L15" i="6"/>
  <c r="B18" i="6"/>
  <c r="K4" i="6"/>
  <c r="K14" i="6"/>
  <c r="A16" i="6"/>
  <c r="B6" i="6"/>
  <c r="L11" i="6"/>
  <c r="B7" i="6"/>
  <c r="A9" i="6"/>
  <c r="K3" i="6"/>
  <c r="K5" i="6"/>
  <c r="L22" i="6" l="1"/>
  <c r="L23" i="6"/>
  <c r="F5" i="6"/>
  <c r="F13" i="6"/>
  <c r="F21" i="6"/>
  <c r="F11" i="6"/>
  <c r="F4" i="6"/>
  <c r="F12" i="6"/>
  <c r="F20" i="6"/>
  <c r="F3" i="6"/>
  <c r="F19" i="6"/>
  <c r="F10" i="6"/>
  <c r="F18" i="6"/>
  <c r="F17" i="6"/>
  <c r="F8" i="6"/>
  <c r="F16" i="6"/>
  <c r="F9" i="6"/>
  <c r="F7" i="6"/>
  <c r="F15" i="6"/>
  <c r="F6" i="6"/>
  <c r="F14" i="6"/>
  <c r="C27" i="1"/>
  <c r="C27" i="46"/>
  <c r="F2" i="6" l="1"/>
  <c r="D9" i="46"/>
  <c r="D10" i="46"/>
  <c r="D11" i="46"/>
  <c r="D12" i="46"/>
  <c r="D13" i="46"/>
  <c r="D14" i="46"/>
  <c r="D15" i="46"/>
  <c r="D16" i="46"/>
  <c r="D17" i="46"/>
  <c r="D18" i="46"/>
  <c r="D19" i="46"/>
  <c r="D20" i="46"/>
  <c r="D21" i="46"/>
  <c r="D22" i="46"/>
  <c r="D23" i="46"/>
  <c r="D24" i="46"/>
  <c r="D25" i="46"/>
  <c r="C26" i="46"/>
  <c r="D7" i="46" s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C26" i="1"/>
  <c r="D6" i="1" s="1"/>
  <c r="D8" i="46" l="1"/>
  <c r="D7" i="1"/>
  <c r="D6" i="46"/>
  <c r="G27" i="46" l="1"/>
  <c r="M3" i="46"/>
  <c r="J1" i="6" l="1"/>
  <c r="H2" i="6" l="1"/>
  <c r="I2" i="6"/>
  <c r="E2" i="6"/>
  <c r="G2" i="6"/>
  <c r="C2" i="6"/>
  <c r="D2" i="6"/>
  <c r="D3" i="6" l="1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I3" i="6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G3" i="6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E3" i="6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</calcChain>
</file>

<file path=xl/sharedStrings.xml><?xml version="1.0" encoding="utf-8"?>
<sst xmlns="http://schemas.openxmlformats.org/spreadsheetml/2006/main" count="40" uniqueCount="24">
  <si>
    <t>Date</t>
  </si>
  <si>
    <t>x1</t>
  </si>
  <si>
    <t>UCL</t>
  </si>
  <si>
    <t>LCL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</si>
  <si>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</si>
  <si>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</si>
  <si>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</si>
  <si>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</si>
  <si>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</si>
  <si>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Insert Date, X1 read, and X2 read only</t>
  </si>
  <si>
    <t>from othe sheets</t>
  </si>
  <si>
    <t>after recording all sample reading print graph</t>
  </si>
  <si>
    <t>2.8*Standard deviation</t>
  </si>
  <si>
    <t>R=</t>
  </si>
  <si>
    <t>record in M3</t>
  </si>
  <si>
    <t>Recovery</t>
  </si>
  <si>
    <t>X BAR</t>
  </si>
  <si>
    <t xml:space="preserve">                 </t>
  </si>
  <si>
    <t>R</t>
  </si>
  <si>
    <t>Sample</t>
  </si>
  <si>
    <t>tds</t>
  </si>
  <si>
    <t>Main</t>
  </si>
  <si>
    <t>Minimun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</si>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</sst>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MS Sans Serif"/>
    </font>
    <font>
      <u/>
      <sz val="10"/>
      <color indexed="12"/>
      <name val="MS Sans Serif"/>
      <family val="2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A0A0A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Protection="1"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16" fontId="0" fillId="0" borderId="0" xfId="0" applyNumberFormat="1" applyAlignment="1" applyProtection="1">
      <alignment horizontal="center" vertical="center"/>
      <protection locked="0" hidden="1"/>
    </xf>
    <xf numFmtId="14" fontId="0" fillId="0" borderId="0" xfId="0" applyNumberFormat="1" applyProtection="1">
      <protection locked="0" hidden="1"/>
    </xf>
    <xf numFmtId="16" fontId="0" fillId="0" borderId="0" xfId="0" applyNumberFormat="1" applyAlignment="1" applyProtection="1">
      <alignment horizontal="center"/>
      <protection locked="0" hidden="1"/>
    </xf>
    <xf numFmtId="2" fontId="0" fillId="0" borderId="0" xfId="0" applyNumberFormat="1" applyProtection="1">
      <protection locked="0" hidden="1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14" fontId="0" fillId="0" borderId="0" xfId="0" applyNumberForma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0" fillId="0" borderId="0" xfId="0" applyNumberFormat="1" applyAlignment="1" applyProtection="1">
      <alignment horizontal="center" vertical="center"/>
      <protection locked="0" hidden="1"/>
    </xf>
    <xf numFmtId="2" fontId="0" fillId="0" borderId="0" xfId="0" applyNumberFormat="1" applyAlignment="1" applyProtection="1">
      <alignment horizontal="center" vertical="center"/>
      <protection locked="0" hidden="1"/>
    </xf>
    <xf numFmtId="10" fontId="0" fillId="0" borderId="0" xfId="1" applyNumberFormat="1" applyFont="1" applyAlignment="1" applyProtection="1">
      <alignment horizontal="center" vertical="center"/>
      <protection hidden="1"/>
    </xf>
    <xf numFmtId="2" fontId="6" fillId="0" borderId="2" xfId="0" applyNumberFormat="1" applyFont="1" applyBorder="1" applyAlignment="1" applyProtection="1">
      <alignment horizontal="center" vertical="center"/>
      <protection locked="0"/>
    </xf>
    <xf numFmtId="16" fontId="6" fillId="0" borderId="1" xfId="0" applyNumberFormat="1" applyFont="1" applyBorder="1" applyAlignment="1" applyProtection="1">
      <alignment horizontal="center" vertical="center"/>
      <protection locked="0"/>
    </xf>
    <xf numFmtId="16" fontId="6" fillId="0" borderId="1" xfId="0" applyNumberFormat="1" applyFont="1" applyBorder="1" applyAlignment="1">
      <alignment horizontal="center" vertical="center"/>
    </xf>
    <xf numFmtId="0" fontId="7" fillId="0" borderId="0" xfId="0" applyFont="1" applyProtection="1">
      <protection locked="0" hidden="1"/>
    </xf>
    <xf numFmtId="0" fontId="7" fillId="0" borderId="0" xfId="0" applyFont="1"/>
    <xf numFmtId="0" fontId="8" fillId="0" borderId="0" xfId="0" applyFont="1"/>
    <xf numFmtId="14" fontId="0" fillId="0" borderId="0" xfId="0" applyNumberFormat="1" applyProtection="1">
      <protection hidden="1"/>
    </xf>
    <xf numFmtId="0" fontId="7" fillId="0" borderId="0" xfId="0" applyFont="1" applyProtection="1">
      <protection hidden="1"/>
    </xf>
    <xf numFmtId="0" fontId="0" fillId="0" borderId="0" xfId="0" applyProtection="1">
      <protection locked="0" hidden="1"/>
    </xf>
    <xf numFmtId="0" fontId="9" fillId="0" borderId="0" xfId="0" applyFont="1"/>
  </cellXfs>
  <cellStyles count="6">
    <cellStyle name="Hyperlink 2" xfId="3"/>
    <cellStyle name="Normal" xfId="0" builtinId="0"/>
    <cellStyle name="Normal 2" xfId="2"/>
    <cellStyle name="Normal 2 2" xfId="5"/>
    <cellStyle name="Percent" xfId="1" builtinId="5"/>
    <cellStyle name="Percent 2" xfId="4"/>
  </cellStyles>
  <dxfs count="14">
    <dxf>
      <numFmt numFmtId="2" formatCode="0.00"/>
      <alignment horizontal="center" vertical="center" textRotation="0" wrapText="0" indent="0" justifyLastLine="0" shrinkToFit="0" readingOrder="0"/>
      <protection locked="0" hidden="1"/>
    </dxf>
    <dxf>
      <numFmt numFmtId="21" formatCode="d\-mmm"/>
      <alignment horizontal="center" vertical="center" textRotation="0" wrapText="0" indent="0" justifyLastLine="0" shrinkToFit="0" readingOrder="0"/>
      <protection locked="0" hidden="1"/>
    </dxf>
    <dxf>
      <numFmt numFmtId="2" formatCode="0.00"/>
      <alignment horizontal="center" vertical="center" textRotation="0" wrapText="0" indent="0" justifyLastLine="0" shrinkToFit="0" readingOrder="0"/>
      <protection locked="0" hidden="1"/>
    </dxf>
    <dxf>
      <numFmt numFmtId="21" formatCode="d\-mmm"/>
      <alignment horizontal="center" vertical="center" textRotation="0" wrapText="0" indent="0" justifyLastLine="0" shrinkToFit="0" readingOrder="0"/>
      <protection locked="0" hidden="1"/>
    </dxf>
    <dxf>
      <numFmt numFmtId="13" formatCode="0%"/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0" hidden="1"/>
    </dxf>
    <dxf>
      <numFmt numFmtId="21" formatCode="d\-mmm"/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numFmt numFmtId="13" formatCode="0%"/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0" hidden="1"/>
    </dxf>
    <dxf>
      <numFmt numFmtId="164" formatCode="dd\/mm\/yyyy"/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'X bar Graph'!$V$16</c:f>
          <c:strCache>
            <c:ptCount val="1"/>
            <c:pt idx="0">
              <c:v>Main tds X bar Chart</c:v>
            </c:pt>
          </c:strCache>
        </c:strRef>
      </c:tx>
      <c:layout/>
      <c:overlay val="0"/>
      <c:txPr>
        <a:bodyPr/>
        <a:lstStyle/>
        <a:p>
          <a:pPr>
            <a:defRPr sz="1800" b="1" i="0">
              <a:solidFill>
                <a:srgbClr val="000000"/>
              </a:solidFill>
              <a:latin typeface="Albertus" panose="020E07020403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96028570199219E-2"/>
          <c:y val="1.0090144981877266E-2"/>
          <c:w val="0.86125029043500712"/>
          <c:h val="0.84034040015831357"/>
        </c:manualLayout>
      </c:layout>
      <c:lineChart>
        <c:grouping val="standard"/>
        <c:varyColors val="0"/>
        <c:ser>
          <c:idx val="0"/>
          <c:order val="0"/>
          <c:tx>
            <c:strRef>
              <c:f>'X bar Chart'!$L$1</c:f>
              <c:strCache>
                <c:ptCount val="1"/>
                <c:pt idx="0">
                  <c:v>Sample</c:v>
                </c:pt>
              </c:strCache>
            </c:strRef>
          </c:tx>
          <c:spPr>
            <a:ln w="12700">
              <a:noFill/>
              <a:prstDash val="solid"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'X bar Chart'!$K$1:$K$21</c15:sqref>
                  </c15:fullRef>
                </c:ext>
              </c:extLst>
              <c:f>'X bar Chart'!$K$2:$K$21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bar Chart'!$L$2:$L$23</c15:sqref>
                  </c15:fullRef>
                </c:ext>
              </c:extLst>
              <c:f>'X bar Chart'!$L$3:$L$23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A-42AF-9E14-864C5FFD777D}"/>
            </c:ext>
          </c:extLst>
        </c:ser>
        <c:ser>
          <c:idx val="1"/>
          <c:order val="1"/>
          <c:tx>
            <c:strRef>
              <c:f>'X bar Chart'!$C$1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'X bar Chart'!$K$1:$K$21</c15:sqref>
                  </c15:fullRef>
                </c:ext>
              </c:extLst>
              <c:f>'X bar Chart'!$K$2:$K$21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bar Chart'!$C$2:$C$21</c15:sqref>
                  </c15:fullRef>
                </c:ext>
              </c:extLst>
              <c:f>'X bar Chart'!$C$3:$C$21</c:f>
              <c:numCache>
                <c:formatCode>0.00</c:formatCode>
                <c:ptCount val="19"/>
                <c:pt idx="0">
                  <c:v>7.0624264068711931</c:v>
                </c:pt>
                <c:pt idx="1">
                  <c:v>7.0624264068711931</c:v>
                </c:pt>
                <c:pt idx="2">
                  <c:v>7.0624264068711931</c:v>
                </c:pt>
                <c:pt idx="3">
                  <c:v>7.0624264068711931</c:v>
                </c:pt>
                <c:pt idx="4">
                  <c:v>7.0624264068711931</c:v>
                </c:pt>
                <c:pt idx="5">
                  <c:v>7.0624264068711931</c:v>
                </c:pt>
                <c:pt idx="6">
                  <c:v>7.0624264068711931</c:v>
                </c:pt>
                <c:pt idx="7">
                  <c:v>7.0624264068711931</c:v>
                </c:pt>
                <c:pt idx="8">
                  <c:v>7.0624264068711931</c:v>
                </c:pt>
                <c:pt idx="9">
                  <c:v>7.0624264068711931</c:v>
                </c:pt>
                <c:pt idx="10">
                  <c:v>7.0624264068711931</c:v>
                </c:pt>
                <c:pt idx="11">
                  <c:v>7.0624264068711931</c:v>
                </c:pt>
                <c:pt idx="12">
                  <c:v>7.0624264068711931</c:v>
                </c:pt>
                <c:pt idx="13">
                  <c:v>7.0624264068711931</c:v>
                </c:pt>
                <c:pt idx="14">
                  <c:v>7.0624264068711931</c:v>
                </c:pt>
                <c:pt idx="15">
                  <c:v>7.0624264068711931</c:v>
                </c:pt>
                <c:pt idx="16">
                  <c:v>7.0624264068711931</c:v>
                </c:pt>
                <c:pt idx="17">
                  <c:v>7.0624264068711931</c:v>
                </c:pt>
                <c:pt idx="18">
                  <c:v>7.0624264068711931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0A-42AF-9E14-864C5FFD777D}"/>
            </c:ext>
          </c:extLst>
        </c:ser>
        <c:ser>
          <c:idx val="2"/>
          <c:order val="2"/>
          <c:tx>
            <c:strRef>
              <c:f>'X bar Chart'!$D$1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solidFill>
                <a:srgbClr val="FF808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'X bar Chart'!$K$1:$K$21</c15:sqref>
                  </c15:fullRef>
                </c:ext>
              </c:extLst>
              <c:f>'X bar Chart'!$K$2:$K$21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bar Chart'!$D$2:$D$21</c15:sqref>
                  </c15:fullRef>
                </c:ext>
              </c:extLst>
              <c:f>'X bar Chart'!$D$3:$D$21</c:f>
              <c:numCache>
                <c:formatCode>0.00</c:formatCode>
                <c:ptCount val="19"/>
                <c:pt idx="0">
                  <c:v>7.0482842712474625</c:v>
                </c:pt>
                <c:pt idx="1">
                  <c:v>7.0482842712474625</c:v>
                </c:pt>
                <c:pt idx="2">
                  <c:v>7.0482842712474625</c:v>
                </c:pt>
                <c:pt idx="3">
                  <c:v>7.0482842712474625</c:v>
                </c:pt>
                <c:pt idx="4">
                  <c:v>7.0482842712474625</c:v>
                </c:pt>
                <c:pt idx="5">
                  <c:v>7.0482842712474625</c:v>
                </c:pt>
                <c:pt idx="6">
                  <c:v>7.0482842712474625</c:v>
                </c:pt>
                <c:pt idx="7">
                  <c:v>7.0482842712474625</c:v>
                </c:pt>
                <c:pt idx="8">
                  <c:v>7.0482842712474625</c:v>
                </c:pt>
                <c:pt idx="9">
                  <c:v>7.0482842712474625</c:v>
                </c:pt>
                <c:pt idx="10">
                  <c:v>7.0482842712474625</c:v>
                </c:pt>
                <c:pt idx="11">
                  <c:v>7.0482842712474625</c:v>
                </c:pt>
                <c:pt idx="12">
                  <c:v>7.0482842712474625</c:v>
                </c:pt>
                <c:pt idx="13">
                  <c:v>7.0482842712474625</c:v>
                </c:pt>
                <c:pt idx="14">
                  <c:v>7.0482842712474625</c:v>
                </c:pt>
                <c:pt idx="15">
                  <c:v>7.0482842712474625</c:v>
                </c:pt>
                <c:pt idx="16">
                  <c:v>7.0482842712474625</c:v>
                </c:pt>
                <c:pt idx="17">
                  <c:v>7.0482842712474625</c:v>
                </c:pt>
                <c:pt idx="18">
                  <c:v>7.0482842712474625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0A-42AF-9E14-864C5FFD777D}"/>
            </c:ext>
          </c:extLst>
        </c:ser>
        <c:ser>
          <c:idx val="3"/>
          <c:order val="3"/>
          <c:tx>
            <c:strRef>
              <c:f>'X bar Chart'!$E$1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12700" cap="rnd" cmpd="sng" algn="ctr">
              <a:solidFill>
                <a:srgbClr val="00808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'X bar Chart'!$K$1:$K$21</c15:sqref>
                  </c15:fullRef>
                </c:ext>
              </c:extLst>
              <c:f>'X bar Chart'!$K$2:$K$21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bar Chart'!$E$2:$E$21</c15:sqref>
                  </c15:fullRef>
                </c:ext>
              </c:extLst>
              <c:f>'X bar Chart'!$E$3:$E$21</c:f>
              <c:numCache>
                <c:formatCode>0.00</c:formatCode>
                <c:ptCount val="19"/>
                <c:pt idx="0">
                  <c:v>7.034142135623731</c:v>
                </c:pt>
                <c:pt idx="1">
                  <c:v>7.034142135623731</c:v>
                </c:pt>
                <c:pt idx="2">
                  <c:v>7.034142135623731</c:v>
                </c:pt>
                <c:pt idx="3">
                  <c:v>7.034142135623731</c:v>
                </c:pt>
                <c:pt idx="4">
                  <c:v>7.034142135623731</c:v>
                </c:pt>
                <c:pt idx="5">
                  <c:v>7.034142135623731</c:v>
                </c:pt>
                <c:pt idx="6">
                  <c:v>7.034142135623731</c:v>
                </c:pt>
                <c:pt idx="7">
                  <c:v>7.034142135623731</c:v>
                </c:pt>
                <c:pt idx="8">
                  <c:v>7.034142135623731</c:v>
                </c:pt>
                <c:pt idx="9">
                  <c:v>7.034142135623731</c:v>
                </c:pt>
                <c:pt idx="10">
                  <c:v>7.034142135623731</c:v>
                </c:pt>
                <c:pt idx="11">
                  <c:v>7.034142135623731</c:v>
                </c:pt>
                <c:pt idx="12">
                  <c:v>7.034142135623731</c:v>
                </c:pt>
                <c:pt idx="13">
                  <c:v>7.034142135623731</c:v>
                </c:pt>
                <c:pt idx="14">
                  <c:v>7.034142135623731</c:v>
                </c:pt>
                <c:pt idx="15">
                  <c:v>7.034142135623731</c:v>
                </c:pt>
                <c:pt idx="16">
                  <c:v>7.034142135623731</c:v>
                </c:pt>
                <c:pt idx="17">
                  <c:v>7.034142135623731</c:v>
                </c:pt>
                <c:pt idx="18">
                  <c:v>7.034142135623731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0A-42AF-9E14-864C5FFD777D}"/>
            </c:ext>
          </c:extLst>
        </c:ser>
        <c:ser>
          <c:idx val="4"/>
          <c:order val="4"/>
          <c:tx>
            <c:strRef>
              <c:f>'X bar Chart'!$F$1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'X bar Chart'!$K$1:$K$21</c15:sqref>
                  </c15:fullRef>
                </c:ext>
              </c:extLst>
              <c:f>'X bar Chart'!$K$2:$K$21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bar Chart'!$F$2:$F$21</c15:sqref>
                  </c15:fullRef>
                </c:ext>
              </c:extLst>
              <c:f>'X bar Chart'!$F$3:$F$21</c:f>
              <c:numCache>
                <c:formatCode>0.00</c:formatCode>
                <c:ptCount val="19"/>
                <c:pt idx="0">
                  <c:v>7.02</c:v>
                </c:pt>
                <c:pt idx="1">
                  <c:v>7.02</c:v>
                </c:pt>
                <c:pt idx="2">
                  <c:v>7.02</c:v>
                </c:pt>
                <c:pt idx="3">
                  <c:v>7.02</c:v>
                </c:pt>
                <c:pt idx="4">
                  <c:v>7.02</c:v>
                </c:pt>
                <c:pt idx="5">
                  <c:v>7.02</c:v>
                </c:pt>
                <c:pt idx="6">
                  <c:v>7.02</c:v>
                </c:pt>
                <c:pt idx="7">
                  <c:v>7.02</c:v>
                </c:pt>
                <c:pt idx="8">
                  <c:v>7.02</c:v>
                </c:pt>
                <c:pt idx="9">
                  <c:v>7.02</c:v>
                </c:pt>
                <c:pt idx="10">
                  <c:v>7.02</c:v>
                </c:pt>
                <c:pt idx="11">
                  <c:v>7.02</c:v>
                </c:pt>
                <c:pt idx="12">
                  <c:v>7.02</c:v>
                </c:pt>
                <c:pt idx="13">
                  <c:v>7.02</c:v>
                </c:pt>
                <c:pt idx="14">
                  <c:v>7.02</c:v>
                </c:pt>
                <c:pt idx="15">
                  <c:v>7.02</c:v>
                </c:pt>
                <c:pt idx="16">
                  <c:v>7.02</c:v>
                </c:pt>
                <c:pt idx="17">
                  <c:v>7.02</c:v>
                </c:pt>
                <c:pt idx="18">
                  <c:v>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0A-42AF-9E14-864C5FFD777D}"/>
            </c:ext>
          </c:extLst>
        </c:ser>
        <c:ser>
          <c:idx val="5"/>
          <c:order val="5"/>
          <c:tx>
            <c:strRef>
              <c:f>'X bar Chart'!$G$1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solidFill>
                <a:srgbClr val="00808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'X bar Chart'!$K$1:$K$21</c15:sqref>
                  </c15:fullRef>
                </c:ext>
              </c:extLst>
              <c:f>'X bar Chart'!$K$2:$K$21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bar Chart'!$G$2:$G$21</c15:sqref>
                  </c15:fullRef>
                </c:ext>
              </c:extLst>
              <c:f>'X bar Chart'!$G$3:$G$21</c:f>
              <c:numCache>
                <c:formatCode>0.00</c:formatCode>
                <c:ptCount val="19"/>
                <c:pt idx="0">
                  <c:v>7.0058578643762681</c:v>
                </c:pt>
                <c:pt idx="1">
                  <c:v>7.0058578643762681</c:v>
                </c:pt>
                <c:pt idx="2">
                  <c:v>7.0058578643762681</c:v>
                </c:pt>
                <c:pt idx="3">
                  <c:v>7.0058578643762681</c:v>
                </c:pt>
                <c:pt idx="4">
                  <c:v>7.0058578643762681</c:v>
                </c:pt>
                <c:pt idx="5">
                  <c:v>7.0058578643762681</c:v>
                </c:pt>
                <c:pt idx="6">
                  <c:v>7.0058578643762681</c:v>
                </c:pt>
                <c:pt idx="7">
                  <c:v>7.0058578643762681</c:v>
                </c:pt>
                <c:pt idx="8">
                  <c:v>7.0058578643762681</c:v>
                </c:pt>
                <c:pt idx="9">
                  <c:v>7.0058578643762681</c:v>
                </c:pt>
                <c:pt idx="10">
                  <c:v>7.0058578643762681</c:v>
                </c:pt>
                <c:pt idx="11">
                  <c:v>7.0058578643762681</c:v>
                </c:pt>
                <c:pt idx="12">
                  <c:v>7.0058578643762681</c:v>
                </c:pt>
                <c:pt idx="13">
                  <c:v>7.0058578643762681</c:v>
                </c:pt>
                <c:pt idx="14">
                  <c:v>7.0058578643762681</c:v>
                </c:pt>
                <c:pt idx="15">
                  <c:v>7.0058578643762681</c:v>
                </c:pt>
                <c:pt idx="16">
                  <c:v>7.0058578643762681</c:v>
                </c:pt>
                <c:pt idx="17">
                  <c:v>7.0058578643762681</c:v>
                </c:pt>
                <c:pt idx="18">
                  <c:v>7.0058578643762681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0A-42AF-9E14-864C5FFD777D}"/>
            </c:ext>
          </c:extLst>
        </c:ser>
        <c:ser>
          <c:idx val="6"/>
          <c:order val="6"/>
          <c:tx>
            <c:strRef>
              <c:f>'X bar Chart'!$H$1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solidFill>
                <a:srgbClr val="FF808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'X bar Chart'!$K$1:$K$21</c15:sqref>
                  </c15:fullRef>
                </c:ext>
              </c:extLst>
              <c:f>'X bar Chart'!$K$2:$K$21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bar Chart'!$H$2:$H$21</c15:sqref>
                  </c15:fullRef>
                </c:ext>
              </c:extLst>
              <c:f>'X bar Chart'!$H$3:$H$21</c:f>
              <c:numCache>
                <c:formatCode>0.00</c:formatCode>
                <c:ptCount val="19"/>
                <c:pt idx="0">
                  <c:v>6.9917157287525367</c:v>
                </c:pt>
                <c:pt idx="1">
                  <c:v>6.9917157287525367</c:v>
                </c:pt>
                <c:pt idx="2">
                  <c:v>6.9917157287525367</c:v>
                </c:pt>
                <c:pt idx="3">
                  <c:v>6.9917157287525367</c:v>
                </c:pt>
                <c:pt idx="4">
                  <c:v>6.9917157287525367</c:v>
                </c:pt>
                <c:pt idx="5">
                  <c:v>6.9917157287525367</c:v>
                </c:pt>
                <c:pt idx="6">
                  <c:v>6.9917157287525367</c:v>
                </c:pt>
                <c:pt idx="7">
                  <c:v>6.9917157287525367</c:v>
                </c:pt>
                <c:pt idx="8">
                  <c:v>6.9917157287525367</c:v>
                </c:pt>
                <c:pt idx="9">
                  <c:v>6.9917157287525367</c:v>
                </c:pt>
                <c:pt idx="10">
                  <c:v>6.9917157287525367</c:v>
                </c:pt>
                <c:pt idx="11">
                  <c:v>6.9917157287525367</c:v>
                </c:pt>
                <c:pt idx="12">
                  <c:v>6.9917157287525367</c:v>
                </c:pt>
                <c:pt idx="13">
                  <c:v>6.9917157287525367</c:v>
                </c:pt>
                <c:pt idx="14">
                  <c:v>6.9917157287525367</c:v>
                </c:pt>
                <c:pt idx="15">
                  <c:v>6.9917157287525367</c:v>
                </c:pt>
                <c:pt idx="16">
                  <c:v>6.9917157287525367</c:v>
                </c:pt>
                <c:pt idx="17">
                  <c:v>6.9917157287525367</c:v>
                </c:pt>
                <c:pt idx="18">
                  <c:v>6.9917157287525367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0A-42AF-9E14-864C5FFD777D}"/>
            </c:ext>
          </c:extLst>
        </c:ser>
        <c:ser>
          <c:idx val="7"/>
          <c:order val="7"/>
          <c:tx>
            <c:strRef>
              <c:f>'X bar Chart'!$I$1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'X bar Chart'!$K$1:$K$21</c15:sqref>
                  </c15:fullRef>
                </c:ext>
              </c:extLst>
              <c:f>'X bar Chart'!$K$2:$K$21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bar Chart'!$I$2:$I$21</c15:sqref>
                  </c15:fullRef>
                </c:ext>
              </c:extLst>
              <c:f>'X bar Chart'!$I$3:$I$21</c:f>
              <c:numCache>
                <c:formatCode>0.00</c:formatCode>
                <c:ptCount val="19"/>
                <c:pt idx="0">
                  <c:v>6.9775735931288061</c:v>
                </c:pt>
                <c:pt idx="1">
                  <c:v>6.9775735931288061</c:v>
                </c:pt>
                <c:pt idx="2">
                  <c:v>6.9775735931288061</c:v>
                </c:pt>
                <c:pt idx="3">
                  <c:v>6.9775735931288061</c:v>
                </c:pt>
                <c:pt idx="4">
                  <c:v>6.9775735931288061</c:v>
                </c:pt>
                <c:pt idx="5">
                  <c:v>6.9775735931288061</c:v>
                </c:pt>
                <c:pt idx="6">
                  <c:v>6.9775735931288061</c:v>
                </c:pt>
                <c:pt idx="7">
                  <c:v>6.9775735931288061</c:v>
                </c:pt>
                <c:pt idx="8">
                  <c:v>6.9775735931288061</c:v>
                </c:pt>
                <c:pt idx="9">
                  <c:v>6.9775735931288061</c:v>
                </c:pt>
                <c:pt idx="10">
                  <c:v>6.9775735931288061</c:v>
                </c:pt>
                <c:pt idx="11">
                  <c:v>6.9775735931288061</c:v>
                </c:pt>
                <c:pt idx="12">
                  <c:v>6.9775735931288061</c:v>
                </c:pt>
                <c:pt idx="13">
                  <c:v>6.9775735931288061</c:v>
                </c:pt>
                <c:pt idx="14">
                  <c:v>6.9775735931288061</c:v>
                </c:pt>
                <c:pt idx="15">
                  <c:v>6.9775735931288061</c:v>
                </c:pt>
                <c:pt idx="16">
                  <c:v>6.9775735931288061</c:v>
                </c:pt>
                <c:pt idx="17">
                  <c:v>6.9775735931288061</c:v>
                </c:pt>
                <c:pt idx="18">
                  <c:v>6.9775735931288061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0A-42AF-9E14-864C5FFD7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50560"/>
        <c:axId val="94085504"/>
      </c:lineChart>
      <c:catAx>
        <c:axId val="9405056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/>
        </c:spPr>
        <c:txPr>
          <a:bodyPr rot="-2820000"/>
          <a:lstStyle/>
          <a:p>
            <a:pPr>
              <a:defRPr/>
            </a:pPr>
            <a:endParaRPr lang="en-US"/>
          </a:p>
        </c:txPr>
        <c:crossAx val="94085504"/>
        <c:crosses val="autoZero"/>
        <c:auto val="1"/>
        <c:lblAlgn val="ctr"/>
        <c:lblOffset val="100"/>
        <c:noMultiLvlLbl val="1"/>
      </c:catAx>
      <c:valAx>
        <c:axId val="94085504"/>
        <c:scaling>
          <c:orientation val="minMax"/>
          <c:min val="6.95"/>
        </c:scaling>
        <c:delete val="0"/>
        <c:axPos val="l"/>
        <c:numFmt formatCode="#,##0.00" sourceLinked="0"/>
        <c:majorTickMark val="none"/>
        <c:minorTickMark val="none"/>
        <c:tickLblPos val="nextTo"/>
        <c:crossAx val="940505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38100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30382-17E8-45F6-80C6-A6C3B7781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1200D5A3\knowware_share\Users\Nick\Desktop\Histog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 CC"/>
      <sheetName val="Histogram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id="2" name="Table2" displayName="Table2" ref="B5:D26" totalsRowCount="1" headerRowDxfId="13" dataDxfId="12">
  <autoFilter ref="B5:D25"/>
  <tableColumns count="3">
    <tableColumn id="1" name="Date" totalsRowLabel="Average" dataDxfId="11" totalsRowDxfId="3"/>
    <tableColumn id="2" name="x1" totalsRowFunction="average" dataDxfId="10" totalsRowDxfId="2"/>
    <tableColumn id="11" name="Recovery" dataDxfId="9">
      <calculatedColumnFormula>IFERROR(IF(ISBLANK(Table2[[#This Row],[Date]]),"",Table2[[#This Row],[x1]]/Table2[[#Totals],[x1]]),"")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2" displayName="Table22" ref="B5:D26" totalsRowCount="1" headerRowDxfId="8" dataDxfId="7">
  <autoFilter ref="B5:D25"/>
  <tableColumns count="3">
    <tableColumn id="1" name="Date" totalsRowLabel="Average" dataDxfId="6" totalsRowDxfId="1"/>
    <tableColumn id="2" name="x1" totalsRowFunction="average" dataDxfId="5" totalsRowDxfId="0"/>
    <tableColumn id="11" name="Recovery" dataDxfId="4">
      <calculatedColumnFormula>IFERROR(IF(ISBLANK(Table22[[#This Row],[Date]]),"",Table22[[#This Row],[x1]]/Table22[[#Totals],[x1]]),"")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4"/>
  <sheetViews>
    <sheetView workbookViewId="0">
      <selection activeCell="C7" sqref="C7"/>
    </sheetView>
  </sheetViews>
  <sheetFormatPr defaultColWidth="9.109375" defaultRowHeight="14.4" x14ac:dyDescent="0.3"/>
  <cols>
    <col min="1" max="1" width="9.109375" style="5"/>
    <col min="2" max="2" width="11" style="5" bestFit="1" customWidth="1"/>
    <col min="3" max="3" width="9.109375" style="5"/>
    <col min="4" max="4" width="13.33203125" style="5" bestFit="1" customWidth="1"/>
    <col min="5" max="5" width="9.109375" style="5"/>
    <col min="6" max="6" width="15" style="5" bestFit="1" customWidth="1"/>
    <col min="7" max="7" width="12.21875" style="5" bestFit="1" customWidth="1"/>
    <col min="8" max="8" width="13.33203125" style="5" bestFit="1" customWidth="1"/>
    <col min="9" max="9" width="16.21875" style="5" bestFit="1" customWidth="1"/>
    <col min="10" max="11" width="9.109375" style="5"/>
    <col min="12" max="12" width="21.77734375" style="5" bestFit="1" customWidth="1"/>
    <col min="13" max="13" width="9.33203125" style="9" bestFit="1" customWidth="1"/>
    <col min="14" max="16384" width="9.109375" style="5"/>
  </cols>
  <sheetData>
    <row r="1" spans="1:13" ht="18" x14ac:dyDescent="0.35">
      <c r="A1" s="3" t="s">
        <v>9</v>
      </c>
      <c r="M1" s="5"/>
    </row>
    <row r="2" spans="1:13" ht="18" x14ac:dyDescent="0.35">
      <c r="A2" s="3" t="s">
        <v>11</v>
      </c>
      <c r="G2" s="27" t="s">
        <v>17</v>
      </c>
      <c r="H2" s="27"/>
      <c r="I2" s="27"/>
      <c r="J2" s="27"/>
      <c r="K2" s="2" t="s">
        <v>13</v>
      </c>
      <c r="L2" s="2" t="s">
        <v>12</v>
      </c>
      <c r="M2" s="5"/>
    </row>
    <row r="3" spans="1:13" ht="18" x14ac:dyDescent="0.35">
      <c r="A3" s="3" t="s">
        <v>10</v>
      </c>
      <c r="C3" s="22" t="s">
        <v>20</v>
      </c>
      <c r="G3" s="27"/>
      <c r="H3" s="27"/>
      <c r="I3" s="27"/>
      <c r="J3" s="27"/>
      <c r="K3" s="2" t="s">
        <v>14</v>
      </c>
      <c r="M3" s="6">
        <v>49.2</v>
      </c>
    </row>
    <row r="4" spans="1:13" x14ac:dyDescent="0.3">
      <c r="M4" s="5"/>
    </row>
    <row r="5" spans="1:13" x14ac:dyDescent="0.3">
      <c r="B5" s="6" t="s">
        <v>0</v>
      </c>
      <c r="C5" s="6" t="s">
        <v>1</v>
      </c>
      <c r="D5" s="6" t="s">
        <v>15</v>
      </c>
      <c r="F5" s="7"/>
      <c r="M5" s="5"/>
    </row>
    <row r="6" spans="1:13" x14ac:dyDescent="0.3">
      <c r="B6" s="16">
        <v>46054</v>
      </c>
      <c r="C6" s="6">
        <v>7.03</v>
      </c>
      <c r="D6" s="18">
        <f>IFERROR(IF(ISBLANK(Table2[[#This Row],[Date]]),"",Table2[[#This Row],[x1]]/Table2[[#Totals],[x1]]),"")</f>
        <v>1.0014245014245016</v>
      </c>
      <c r="F6" s="7"/>
      <c r="M6" s="5"/>
    </row>
    <row r="7" spans="1:13" x14ac:dyDescent="0.3">
      <c r="B7" s="16">
        <v>46082</v>
      </c>
      <c r="C7" s="1">
        <v>7.01</v>
      </c>
      <c r="D7" s="18">
        <f>IFERROR(IF(ISBLANK(Table2[[#This Row],[Date]]),"",Table2[[#This Row],[x1]]/Table2[[#Totals],[x1]]),"")</f>
        <v>0.99857549857549865</v>
      </c>
      <c r="F7" s="7"/>
      <c r="M7" s="5"/>
    </row>
    <row r="8" spans="1:13" x14ac:dyDescent="0.3">
      <c r="B8" s="16"/>
      <c r="C8" s="6"/>
      <c r="D8" s="18" t="str">
        <f>IFERROR(IF(ISBLANK(Table2[[#This Row],[Date]]),"",Table2[[#This Row],[x1]]/Table2[[#Totals],[x1]]),"")</f>
        <v/>
      </c>
      <c r="F8" s="7"/>
      <c r="M8" s="5"/>
    </row>
    <row r="9" spans="1:13" x14ac:dyDescent="0.3">
      <c r="B9" s="16"/>
      <c r="C9" s="6"/>
      <c r="D9" s="18" t="str">
        <f>IFERROR(IF(ISBLANK(Table2[[#This Row],[Date]]),"",Table2[[#This Row],[x1]]/Table2[[#Totals],[x1]]),"")</f>
        <v/>
      </c>
      <c r="F9" s="7"/>
      <c r="M9" s="5"/>
    </row>
    <row r="10" spans="1:13" x14ac:dyDescent="0.3">
      <c r="B10" s="16"/>
      <c r="C10" s="6"/>
      <c r="D10" s="18" t="str">
        <f>IFERROR(IF(ISBLANK(Table2[[#This Row],[Date]]),"",Table2[[#This Row],[x1]]/Table2[[#Totals],[x1]]),"")</f>
        <v/>
      </c>
      <c r="F10" s="7"/>
      <c r="M10" s="5"/>
    </row>
    <row r="11" spans="1:13" x14ac:dyDescent="0.3">
      <c r="B11" s="16"/>
      <c r="C11" s="6"/>
      <c r="D11" s="18" t="str">
        <f>IFERROR(IF(ISBLANK(Table2[[#This Row],[Date]]),"",Table2[[#This Row],[x1]]/Table2[[#Totals],[x1]]),"")</f>
        <v/>
      </c>
      <c r="F11" s="7"/>
      <c r="M11" s="5"/>
    </row>
    <row r="12" spans="1:13" x14ac:dyDescent="0.3">
      <c r="B12" s="16"/>
      <c r="C12" s="6"/>
      <c r="D12" s="18" t="str">
        <f>IFERROR(IF(ISBLANK(Table2[[#This Row],[Date]]),"",Table2[[#This Row],[x1]]/Table2[[#Totals],[x1]]),"")</f>
        <v/>
      </c>
      <c r="F12" s="7"/>
      <c r="M12" s="5"/>
    </row>
    <row r="13" spans="1:13" x14ac:dyDescent="0.3">
      <c r="B13" s="16"/>
      <c r="C13" s="6"/>
      <c r="D13" s="18" t="str">
        <f>IFERROR(IF(ISBLANK(Table2[[#This Row],[Date]]),"",Table2[[#This Row],[x1]]/Table2[[#Totals],[x1]]),"")</f>
        <v/>
      </c>
      <c r="F13" s="7"/>
      <c r="M13" s="5"/>
    </row>
    <row r="14" spans="1:13" x14ac:dyDescent="0.3">
      <c r="B14" s="16"/>
      <c r="C14" s="1"/>
      <c r="D14" s="18" t="str">
        <f>IFERROR(IF(ISBLANK(Table2[[#This Row],[Date]]),"",Table2[[#This Row],[x1]]/Table2[[#Totals],[x1]]),"")</f>
        <v/>
      </c>
      <c r="F14" s="7"/>
      <c r="M14" s="5"/>
    </row>
    <row r="15" spans="1:13" x14ac:dyDescent="0.3">
      <c r="B15" s="16"/>
      <c r="C15" s="6"/>
      <c r="D15" s="18" t="str">
        <f>IFERROR(IF(ISBLANK(Table2[[#This Row],[Date]]),"",Table2[[#This Row],[x1]]/Table2[[#Totals],[x1]]),"")</f>
        <v/>
      </c>
      <c r="F15" s="7"/>
      <c r="M15" s="5"/>
    </row>
    <row r="16" spans="1:13" x14ac:dyDescent="0.3">
      <c r="B16" s="16"/>
      <c r="C16" s="6"/>
      <c r="D16" s="18" t="str">
        <f>IFERROR(IF(ISBLANK(Table2[[#This Row],[Date]]),"",Table2[[#This Row],[x1]]/Table2[[#Totals],[x1]]),"")</f>
        <v/>
      </c>
      <c r="F16" s="7"/>
      <c r="M16" s="5"/>
    </row>
    <row r="17" spans="2:13" x14ac:dyDescent="0.3">
      <c r="B17" s="16"/>
      <c r="C17" s="6"/>
      <c r="D17" s="18" t="str">
        <f>IFERROR(IF(ISBLANK(Table2[[#This Row],[Date]]),"",Table2[[#This Row],[x1]]/Table2[[#Totals],[x1]]),"")</f>
        <v/>
      </c>
      <c r="F17" s="7"/>
      <c r="M17" s="5"/>
    </row>
    <row r="18" spans="2:13" x14ac:dyDescent="0.3">
      <c r="B18" s="16"/>
      <c r="C18" s="6"/>
      <c r="D18" s="18" t="str">
        <f>IFERROR(IF(ISBLANK(Table2[[#This Row],[Date]]),"",Table2[[#This Row],[x1]]/Table2[[#Totals],[x1]]),"")</f>
        <v/>
      </c>
      <c r="F18" s="7"/>
      <c r="M18" s="5"/>
    </row>
    <row r="19" spans="2:13" x14ac:dyDescent="0.3">
      <c r="B19" s="16"/>
      <c r="C19" s="6"/>
      <c r="D19" s="18" t="str">
        <f>IFERROR(IF(ISBLANK(Table2[[#This Row],[Date]]),"",Table2[[#This Row],[x1]]/Table2[[#Totals],[x1]]),"")</f>
        <v/>
      </c>
      <c r="F19" s="7"/>
      <c r="M19" s="5"/>
    </row>
    <row r="20" spans="2:13" x14ac:dyDescent="0.3">
      <c r="B20" s="16"/>
      <c r="C20" s="6"/>
      <c r="D20" s="18" t="str">
        <f>IFERROR(IF(ISBLANK(Table2[[#This Row],[Date]]),"",Table2[[#This Row],[x1]]/Table2[[#Totals],[x1]]),"")</f>
        <v/>
      </c>
      <c r="F20" s="7"/>
      <c r="M20" s="5"/>
    </row>
    <row r="21" spans="2:13" x14ac:dyDescent="0.3">
      <c r="B21" s="16"/>
      <c r="C21" s="1"/>
      <c r="D21" s="18" t="str">
        <f>IFERROR(IF(ISBLANK(Table2[[#This Row],[Date]]),"",Table2[[#This Row],[x1]]/Table2[[#Totals],[x1]]),"")</f>
        <v/>
      </c>
      <c r="F21" s="7"/>
      <c r="M21" s="5"/>
    </row>
    <row r="22" spans="2:13" x14ac:dyDescent="0.3">
      <c r="B22" s="16"/>
      <c r="C22" s="6"/>
      <c r="D22" s="18" t="str">
        <f>IFERROR(IF(ISBLANK(Table2[[#This Row],[Date]]),"",Table2[[#This Row],[x1]]/Table2[[#Totals],[x1]]),"")</f>
        <v/>
      </c>
      <c r="F22" s="7"/>
      <c r="M22" s="5"/>
    </row>
    <row r="23" spans="2:13" x14ac:dyDescent="0.3">
      <c r="B23" s="16"/>
      <c r="C23" s="6"/>
      <c r="D23" s="18" t="str">
        <f>IFERROR(IF(ISBLANK(Table2[[#This Row],[Date]]),"",Table2[[#This Row],[x1]]/Table2[[#Totals],[x1]]),"")</f>
        <v/>
      </c>
      <c r="F23" s="7"/>
      <c r="M23" s="5"/>
    </row>
    <row r="24" spans="2:13" x14ac:dyDescent="0.3">
      <c r="B24" s="16"/>
      <c r="C24" s="6"/>
      <c r="D24" s="18" t="str">
        <f>IFERROR(IF(ISBLANK(Table2[[#This Row],[Date]]),"",Table2[[#This Row],[x1]]/Table2[[#Totals],[x1]]),"")</f>
        <v/>
      </c>
      <c r="F24" s="7"/>
      <c r="M24" s="5"/>
    </row>
    <row r="25" spans="2:13" x14ac:dyDescent="0.3">
      <c r="B25" s="16"/>
      <c r="C25" s="6"/>
      <c r="D25" s="18" t="str">
        <f>IFERROR(IF(ISBLANK(Table2[[#This Row],[Date]]),"",Table2[[#This Row],[x1]]/Table2[[#Totals],[x1]]),"")</f>
        <v/>
      </c>
      <c r="F25" s="7"/>
      <c r="M25" s="5"/>
    </row>
    <row r="26" spans="2:13" ht="15" thickBot="1" x14ac:dyDescent="0.35">
      <c r="B26" s="8" t="s">
        <v>6</v>
      </c>
      <c r="C26" s="17">
        <f>SUBTOTAL(101,Table2[x1])</f>
        <v>7.02</v>
      </c>
      <c r="D26"/>
      <c r="M26" s="5"/>
    </row>
    <row r="27" spans="2:13" ht="15" thickTop="1" x14ac:dyDescent="0.3">
      <c r="B27" s="20" t="s">
        <v>18</v>
      </c>
      <c r="C27" s="19">
        <f>_xlfn.STDEV.S(Table2[x1])*2.8</f>
        <v>3.9597979746447576E-2</v>
      </c>
      <c r="G27" s="2"/>
    </row>
    <row r="29" spans="2:13" x14ac:dyDescent="0.3">
      <c r="H29" s="2"/>
    </row>
    <row r="30" spans="2:13" x14ac:dyDescent="0.3">
      <c r="B30" s="7"/>
    </row>
    <row r="31" spans="2:13" x14ac:dyDescent="0.3">
      <c r="B31" s="10"/>
      <c r="D31" s="11"/>
      <c r="E31" s="11"/>
      <c r="F31" s="11"/>
    </row>
    <row r="32" spans="2:13" x14ac:dyDescent="0.3">
      <c r="B32" s="10"/>
      <c r="D32" s="11"/>
      <c r="E32" s="11"/>
      <c r="F32" s="11"/>
    </row>
    <row r="33" spans="2:6" x14ac:dyDescent="0.3">
      <c r="B33" s="10"/>
      <c r="D33" s="11"/>
      <c r="E33" s="11"/>
      <c r="F33" s="11"/>
    </row>
    <row r="34" spans="2:6" x14ac:dyDescent="0.3">
      <c r="B34" s="10"/>
      <c r="D34" s="11"/>
      <c r="E34" s="11"/>
      <c r="F34" s="11"/>
    </row>
    <row r="35" spans="2:6" x14ac:dyDescent="0.3">
      <c r="B35" s="10"/>
      <c r="D35" s="11"/>
      <c r="E35" s="11"/>
      <c r="F35" s="11"/>
    </row>
    <row r="36" spans="2:6" x14ac:dyDescent="0.3">
      <c r="B36" s="10"/>
      <c r="D36" s="11"/>
      <c r="E36" s="11"/>
      <c r="F36" s="11"/>
    </row>
    <row r="37" spans="2:6" x14ac:dyDescent="0.3">
      <c r="B37" s="10"/>
      <c r="D37" s="11"/>
      <c r="E37" s="11"/>
      <c r="F37" s="11"/>
    </row>
    <row r="38" spans="2:6" x14ac:dyDescent="0.3">
      <c r="B38" s="10"/>
      <c r="D38" s="11"/>
      <c r="E38" s="11"/>
      <c r="F38" s="11"/>
    </row>
    <row r="39" spans="2:6" x14ac:dyDescent="0.3">
      <c r="B39" s="10"/>
      <c r="D39" s="11"/>
      <c r="E39" s="11"/>
      <c r="F39" s="11"/>
    </row>
    <row r="40" spans="2:6" x14ac:dyDescent="0.3">
      <c r="B40" s="10"/>
      <c r="D40" s="11"/>
      <c r="E40" s="11"/>
      <c r="F40" s="11"/>
    </row>
    <row r="41" spans="2:6" x14ac:dyDescent="0.3">
      <c r="B41" s="10"/>
      <c r="D41" s="11"/>
      <c r="E41" s="11"/>
      <c r="F41" s="11"/>
    </row>
    <row r="42" spans="2:6" x14ac:dyDescent="0.3">
      <c r="B42" s="10"/>
      <c r="D42" s="11"/>
      <c r="E42" s="11"/>
      <c r="F42" s="11"/>
    </row>
    <row r="43" spans="2:6" x14ac:dyDescent="0.3">
      <c r="B43" s="10"/>
      <c r="D43" s="11"/>
      <c r="E43" s="11"/>
      <c r="F43" s="11"/>
    </row>
    <row r="44" spans="2:6" x14ac:dyDescent="0.3">
      <c r="B44" s="10"/>
      <c r="D44" s="11"/>
      <c r="E44" s="11"/>
      <c r="F44" s="11"/>
    </row>
    <row r="45" spans="2:6" x14ac:dyDescent="0.3">
      <c r="B45" s="10"/>
      <c r="D45" s="11"/>
      <c r="E45" s="11"/>
      <c r="F45" s="11"/>
    </row>
    <row r="46" spans="2:6" x14ac:dyDescent="0.3">
      <c r="B46" s="10"/>
      <c r="D46" s="11"/>
      <c r="E46" s="11"/>
      <c r="F46" s="11"/>
    </row>
    <row r="47" spans="2:6" x14ac:dyDescent="0.3">
      <c r="B47" s="10"/>
      <c r="D47" s="11"/>
      <c r="E47" s="11"/>
      <c r="F47" s="11"/>
    </row>
    <row r="48" spans="2:6" x14ac:dyDescent="0.3">
      <c r="B48" s="10"/>
      <c r="D48" s="11"/>
      <c r="E48" s="11"/>
      <c r="F48" s="11"/>
    </row>
    <row r="49" spans="2:6" x14ac:dyDescent="0.3">
      <c r="B49" s="10"/>
      <c r="D49" s="11"/>
      <c r="E49" s="11"/>
      <c r="F49" s="11"/>
    </row>
    <row r="50" spans="2:6" x14ac:dyDescent="0.3">
      <c r="D50" s="11"/>
      <c r="E50" s="11"/>
      <c r="F50" s="11"/>
    </row>
    <row r="52" spans="2:6" x14ac:dyDescent="0.3">
      <c r="D52" s="11"/>
      <c r="E52" s="11"/>
      <c r="F52" s="11"/>
    </row>
    <row r="53" spans="2:6" x14ac:dyDescent="0.3">
      <c r="D53" s="11"/>
      <c r="E53" s="11"/>
      <c r="F53" s="11"/>
    </row>
    <row r="54" spans="2:6" x14ac:dyDescent="0.3">
      <c r="D54" s="11"/>
      <c r="E54" s="11"/>
      <c r="F54" s="11"/>
    </row>
  </sheetData>
  <sheetProtection algorithmName="SHA-512" hashValue="o67tmb75P3vOA0t4nQFRRG9RBkGtv2k7cJmiPM4GT5a22cbft/AVQs6Yh1NNTtH1PaBw/WAg2TwEk0i1cdui6g==" saltValue="t8mHkjWk49Sp02QyzhYFew==" spinCount="100000" sheet="1" objects="1" scenarios="1"/>
  <mergeCells count="1">
    <mergeCell ref="G2:J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54"/>
  <sheetViews>
    <sheetView workbookViewId="0">
      <selection activeCell="B6" sqref="B6:C8"/>
    </sheetView>
  </sheetViews>
  <sheetFormatPr defaultColWidth="9.109375" defaultRowHeight="14.4" x14ac:dyDescent="0.3"/>
  <cols>
    <col min="1" max="1" width="9.109375" style="15"/>
    <col min="2" max="2" width="11" style="15" bestFit="1" customWidth="1"/>
    <col min="3" max="5" width="9.109375" style="15"/>
    <col min="6" max="6" width="15" style="15" bestFit="1" customWidth="1"/>
    <col min="7" max="7" width="12.21875" style="15" bestFit="1" customWidth="1"/>
    <col min="8" max="8" width="13.33203125" style="15" bestFit="1" customWidth="1"/>
    <col min="9" max="9" width="16.21875" style="15" bestFit="1" customWidth="1"/>
    <col min="10" max="11" width="9.109375" style="15"/>
    <col min="12" max="12" width="21.77734375" style="15" bestFit="1" customWidth="1"/>
    <col min="13" max="13" width="9.33203125" style="9" bestFit="1" customWidth="1"/>
    <col min="14" max="16384" width="9.109375" style="15"/>
  </cols>
  <sheetData>
    <row r="1" spans="1:13" ht="18" x14ac:dyDescent="0.35">
      <c r="A1" s="3" t="s">
        <v>9</v>
      </c>
      <c r="M1" s="15"/>
    </row>
    <row r="2" spans="1:13" ht="18" x14ac:dyDescent="0.35">
      <c r="A2" s="3" t="s">
        <v>11</v>
      </c>
      <c r="G2" s="27" t="s">
        <v>17</v>
      </c>
      <c r="H2" s="27"/>
      <c r="I2" s="27"/>
      <c r="J2" s="27"/>
      <c r="K2" s="2" t="s">
        <v>13</v>
      </c>
      <c r="L2" s="2" t="s">
        <v>12</v>
      </c>
      <c r="M2" s="15"/>
    </row>
    <row r="3" spans="1:13" ht="18" x14ac:dyDescent="0.35">
      <c r="A3" s="3" t="s">
        <v>10</v>
      </c>
      <c r="G3" s="27"/>
      <c r="H3" s="27"/>
      <c r="I3" s="27"/>
      <c r="J3" s="27"/>
      <c r="K3" s="2" t="s">
        <v>14</v>
      </c>
      <c r="M3" s="4">
        <f>Main!G27</f>
        <v>0</v>
      </c>
    </row>
    <row r="4" spans="1:13" x14ac:dyDescent="0.3">
      <c r="M4" s="15"/>
    </row>
    <row r="5" spans="1:13" x14ac:dyDescent="0.3">
      <c r="B5" s="6" t="s">
        <v>0</v>
      </c>
      <c r="C5" s="6" t="s">
        <v>1</v>
      </c>
      <c r="D5" s="6" t="s">
        <v>15</v>
      </c>
      <c r="F5" s="7"/>
      <c r="M5" s="15"/>
    </row>
    <row r="6" spans="1:13" x14ac:dyDescent="0.3">
      <c r="B6" s="16"/>
      <c r="C6" s="6"/>
      <c r="D6" s="18" t="str">
        <f>IFERROR(IF(ISBLANK(Table22[[#This Row],[Date]]),"",Table22[[#This Row],[x1]]/Table22[[#Totals],[x1]]),"")</f>
        <v/>
      </c>
      <c r="F6" s="7"/>
      <c r="M6" s="15"/>
    </row>
    <row r="7" spans="1:13" x14ac:dyDescent="0.3">
      <c r="B7" s="16"/>
      <c r="C7" s="1"/>
      <c r="D7" s="18" t="str">
        <f>IFERROR(IF(ISBLANK(Table22[[#This Row],[Date]]),"",Table22[[#This Row],[x1]]/Table22[[#Totals],[x1]]),"")</f>
        <v/>
      </c>
      <c r="F7" s="7"/>
      <c r="M7" s="15"/>
    </row>
    <row r="8" spans="1:13" x14ac:dyDescent="0.3">
      <c r="B8" s="16"/>
      <c r="C8" s="6"/>
      <c r="D8" s="18" t="str">
        <f>IFERROR(IF(ISBLANK(Table22[[#This Row],[Date]]),"",Table22[[#This Row],[x1]]/Table22[[#Totals],[x1]]),"")</f>
        <v/>
      </c>
      <c r="F8" s="7"/>
      <c r="M8" s="15"/>
    </row>
    <row r="9" spans="1:13" x14ac:dyDescent="0.3">
      <c r="B9" s="16"/>
      <c r="C9" s="6"/>
      <c r="D9" s="18" t="str">
        <f>IFERROR(IF(ISBLANK(Table22[[#This Row],[Date]]),"",Table22[[#This Row],[x1]]/Table22[[#Totals],[x1]]),"")</f>
        <v/>
      </c>
      <c r="F9" s="7"/>
      <c r="M9" s="15"/>
    </row>
    <row r="10" spans="1:13" x14ac:dyDescent="0.3">
      <c r="B10" s="16"/>
      <c r="C10" s="6"/>
      <c r="D10" s="18" t="str">
        <f>IFERROR(IF(ISBLANK(Table22[[#This Row],[Date]]),"",Table22[[#This Row],[x1]]/Table22[[#Totals],[x1]]),"")</f>
        <v/>
      </c>
      <c r="F10" s="7"/>
      <c r="M10" s="15"/>
    </row>
    <row r="11" spans="1:13" x14ac:dyDescent="0.3">
      <c r="B11" s="16"/>
      <c r="C11" s="6"/>
      <c r="D11" s="18" t="str">
        <f>IFERROR(IF(ISBLANK(Table22[[#This Row],[Date]]),"",Table22[[#This Row],[x1]]/Table22[[#Totals],[x1]]),"")</f>
        <v/>
      </c>
      <c r="F11" s="7"/>
      <c r="M11" s="15"/>
    </row>
    <row r="12" spans="1:13" x14ac:dyDescent="0.3">
      <c r="B12" s="16"/>
      <c r="C12" s="6"/>
      <c r="D12" s="18" t="str">
        <f>IFERROR(IF(ISBLANK(Table22[[#This Row],[Date]]),"",Table22[[#This Row],[x1]]/Table22[[#Totals],[x1]]),"")</f>
        <v/>
      </c>
      <c r="F12" s="7"/>
      <c r="M12" s="15"/>
    </row>
    <row r="13" spans="1:13" x14ac:dyDescent="0.3">
      <c r="B13" s="16"/>
      <c r="C13" s="6"/>
      <c r="D13" s="18" t="str">
        <f>IFERROR(IF(ISBLANK(Table22[[#This Row],[Date]]),"",Table22[[#This Row],[x1]]/Table22[[#Totals],[x1]]),"")</f>
        <v/>
      </c>
      <c r="F13" s="7"/>
      <c r="M13" s="15"/>
    </row>
    <row r="14" spans="1:13" x14ac:dyDescent="0.3">
      <c r="B14" s="16"/>
      <c r="C14" s="6"/>
      <c r="D14" s="18" t="str">
        <f>IFERROR(IF(ISBLANK(Table22[[#This Row],[Date]]),"",Table22[[#This Row],[x1]]/Table22[[#Totals],[x1]]),"")</f>
        <v/>
      </c>
      <c r="F14" s="7"/>
      <c r="M14" s="15"/>
    </row>
    <row r="15" spans="1:13" x14ac:dyDescent="0.3">
      <c r="B15" s="16"/>
      <c r="C15" s="6"/>
      <c r="D15" s="18" t="str">
        <f>IFERROR(IF(ISBLANK(Table22[[#This Row],[Date]]),"",Table22[[#This Row],[x1]]/Table22[[#Totals],[x1]]),"")</f>
        <v/>
      </c>
      <c r="F15" s="7"/>
      <c r="M15" s="15"/>
    </row>
    <row r="16" spans="1:13" x14ac:dyDescent="0.3">
      <c r="B16" s="16"/>
      <c r="C16" s="6"/>
      <c r="D16" s="18" t="str">
        <f>IFERROR(IF(ISBLANK(Table22[[#This Row],[Date]]),"",Table22[[#This Row],[x1]]/Table22[[#Totals],[x1]]),"")</f>
        <v/>
      </c>
      <c r="F16" s="7"/>
      <c r="M16" s="15"/>
    </row>
    <row r="17" spans="2:13" x14ac:dyDescent="0.3">
      <c r="B17" s="16"/>
      <c r="C17" s="6"/>
      <c r="D17" s="18" t="str">
        <f>IFERROR(IF(ISBLANK(Table22[[#This Row],[Date]]),"",Table22[[#This Row],[x1]]/Table22[[#Totals],[x1]]),"")</f>
        <v/>
      </c>
      <c r="F17" s="7"/>
      <c r="M17" s="15"/>
    </row>
    <row r="18" spans="2:13" x14ac:dyDescent="0.3">
      <c r="B18" s="16"/>
      <c r="C18" s="6"/>
      <c r="D18" s="18" t="str">
        <f>IFERROR(IF(ISBLANK(Table22[[#This Row],[Date]]),"",Table22[[#This Row],[x1]]/Table22[[#Totals],[x1]]),"")</f>
        <v/>
      </c>
      <c r="F18" s="7"/>
      <c r="M18" s="15"/>
    </row>
    <row r="19" spans="2:13" x14ac:dyDescent="0.3">
      <c r="B19" s="16"/>
      <c r="C19" s="6"/>
      <c r="D19" s="18" t="str">
        <f>IFERROR(IF(ISBLANK(Table22[[#This Row],[Date]]),"",Table22[[#This Row],[x1]]/Table22[[#Totals],[x1]]),"")</f>
        <v/>
      </c>
      <c r="F19" s="7"/>
      <c r="M19" s="15"/>
    </row>
    <row r="20" spans="2:13" x14ac:dyDescent="0.3">
      <c r="B20" s="16"/>
      <c r="C20" s="6"/>
      <c r="D20" s="18" t="str">
        <f>IFERROR(IF(ISBLANK(Table22[[#This Row],[Date]]),"",Table22[[#This Row],[x1]]/Table22[[#Totals],[x1]]),"")</f>
        <v/>
      </c>
      <c r="F20" s="7"/>
      <c r="M20" s="15"/>
    </row>
    <row r="21" spans="2:13" x14ac:dyDescent="0.3">
      <c r="B21" s="16"/>
      <c r="C21" s="6"/>
      <c r="D21" s="18" t="str">
        <f>IFERROR(IF(ISBLANK(Table22[[#This Row],[Date]]),"",Table22[[#This Row],[x1]]/Table22[[#Totals],[x1]]),"")</f>
        <v/>
      </c>
      <c r="F21" s="7"/>
      <c r="M21" s="15"/>
    </row>
    <row r="22" spans="2:13" x14ac:dyDescent="0.3">
      <c r="B22" s="16"/>
      <c r="C22" s="6"/>
      <c r="D22" s="18" t="str">
        <f>IFERROR(IF(ISBLANK(Table22[[#This Row],[Date]]),"",Table22[[#This Row],[x1]]/Table22[[#Totals],[x1]]),"")</f>
        <v/>
      </c>
      <c r="F22" s="7"/>
      <c r="M22" s="15"/>
    </row>
    <row r="23" spans="2:13" x14ac:dyDescent="0.3">
      <c r="B23" s="16"/>
      <c r="C23" s="6"/>
      <c r="D23" s="18" t="str">
        <f>IFERROR(IF(ISBLANK(Table22[[#This Row],[Date]]),"",Table22[[#This Row],[x1]]/Table22[[#Totals],[x1]]),"")</f>
        <v/>
      </c>
      <c r="F23" s="7"/>
      <c r="M23" s="15"/>
    </row>
    <row r="24" spans="2:13" x14ac:dyDescent="0.3">
      <c r="B24" s="16"/>
      <c r="C24" s="6"/>
      <c r="D24" s="18" t="str">
        <f>IFERROR(IF(ISBLANK(Table22[[#This Row],[Date]]),"",Table22[[#This Row],[x1]]/Table22[[#Totals],[x1]]),"")</f>
        <v/>
      </c>
      <c r="F24" s="7"/>
      <c r="M24" s="15"/>
    </row>
    <row r="25" spans="2:13" x14ac:dyDescent="0.3">
      <c r="B25" s="16"/>
      <c r="C25" s="6"/>
      <c r="D25" s="18" t="str">
        <f>IFERROR(IF(ISBLANK(Table22[[#This Row],[Date]]),"",Table22[[#This Row],[x1]]/Table22[[#Totals],[x1]]),"")</f>
        <v/>
      </c>
      <c r="F25" s="7"/>
      <c r="M25" s="15"/>
    </row>
    <row r="26" spans="2:13" ht="15" thickBot="1" x14ac:dyDescent="0.35">
      <c r="B26" s="8" t="s">
        <v>6</v>
      </c>
      <c r="C26" s="17" t="e">
        <f>SUBTOTAL(101,Table22[x1])</f>
        <v>#DIV/0!</v>
      </c>
      <c r="D26"/>
      <c r="M26" s="15"/>
    </row>
    <row r="27" spans="2:13" ht="15" thickTop="1" x14ac:dyDescent="0.3">
      <c r="B27" s="21" t="s">
        <v>18</v>
      </c>
      <c r="C27" s="21" t="e">
        <f>_xlfn.STDEV.S(Table22[x1])*2.8</f>
        <v>#DIV/0!</v>
      </c>
      <c r="G27" s="2" t="str">
        <f>IFERROR(2.8*_xlfn.STDEV.S(#REF!),"")</f>
        <v/>
      </c>
    </row>
    <row r="29" spans="2:13" x14ac:dyDescent="0.3">
      <c r="H29" s="2"/>
    </row>
    <row r="30" spans="2:13" x14ac:dyDescent="0.3">
      <c r="B30" s="7"/>
    </row>
    <row r="31" spans="2:13" x14ac:dyDescent="0.3">
      <c r="B31" s="10"/>
      <c r="D31" s="11"/>
      <c r="E31" s="11"/>
      <c r="F31" s="11"/>
    </row>
    <row r="32" spans="2:13" x14ac:dyDescent="0.3">
      <c r="B32" s="10"/>
      <c r="D32" s="11"/>
      <c r="E32" s="11"/>
      <c r="F32" s="11"/>
    </row>
    <row r="33" spans="2:6" x14ac:dyDescent="0.3">
      <c r="B33" s="10"/>
      <c r="D33" s="11"/>
      <c r="E33" s="11"/>
      <c r="F33" s="11"/>
    </row>
    <row r="34" spans="2:6" x14ac:dyDescent="0.3">
      <c r="B34" s="10"/>
      <c r="D34" s="11"/>
      <c r="E34" s="11"/>
      <c r="F34" s="11"/>
    </row>
    <row r="35" spans="2:6" x14ac:dyDescent="0.3">
      <c r="B35" s="10"/>
      <c r="D35" s="11"/>
      <c r="E35" s="11"/>
      <c r="F35" s="11"/>
    </row>
    <row r="36" spans="2:6" x14ac:dyDescent="0.3">
      <c r="B36" s="10"/>
      <c r="D36" s="11"/>
      <c r="E36" s="11"/>
      <c r="F36" s="11"/>
    </row>
    <row r="37" spans="2:6" x14ac:dyDescent="0.3">
      <c r="B37" s="10"/>
      <c r="D37" s="11"/>
      <c r="E37" s="11"/>
      <c r="F37" s="11"/>
    </row>
    <row r="38" spans="2:6" x14ac:dyDescent="0.3">
      <c r="B38" s="10"/>
      <c r="D38" s="11"/>
      <c r="E38" s="11"/>
      <c r="F38" s="11"/>
    </row>
    <row r="39" spans="2:6" x14ac:dyDescent="0.3">
      <c r="B39" s="10"/>
      <c r="D39" s="11"/>
      <c r="E39" s="11"/>
      <c r="F39" s="11"/>
    </row>
    <row r="40" spans="2:6" x14ac:dyDescent="0.3">
      <c r="B40" s="10"/>
      <c r="D40" s="11"/>
      <c r="E40" s="11"/>
      <c r="F40" s="11"/>
    </row>
    <row r="41" spans="2:6" x14ac:dyDescent="0.3">
      <c r="B41" s="10"/>
      <c r="D41" s="11"/>
      <c r="E41" s="11"/>
      <c r="F41" s="11"/>
    </row>
    <row r="42" spans="2:6" x14ac:dyDescent="0.3">
      <c r="B42" s="10"/>
      <c r="D42" s="11"/>
      <c r="E42" s="11"/>
      <c r="F42" s="11"/>
    </row>
    <row r="43" spans="2:6" x14ac:dyDescent="0.3">
      <c r="B43" s="10"/>
      <c r="D43" s="11"/>
      <c r="E43" s="11"/>
      <c r="F43" s="11"/>
    </row>
    <row r="44" spans="2:6" x14ac:dyDescent="0.3">
      <c r="B44" s="10"/>
      <c r="D44" s="11"/>
      <c r="E44" s="11"/>
      <c r="F44" s="11"/>
    </row>
    <row r="45" spans="2:6" x14ac:dyDescent="0.3">
      <c r="B45" s="10"/>
      <c r="D45" s="11"/>
      <c r="E45" s="11"/>
      <c r="F45" s="11"/>
    </row>
    <row r="46" spans="2:6" x14ac:dyDescent="0.3">
      <c r="B46" s="10"/>
      <c r="D46" s="11"/>
      <c r="E46" s="11"/>
      <c r="F46" s="11"/>
    </row>
    <row r="47" spans="2:6" x14ac:dyDescent="0.3">
      <c r="B47" s="10"/>
      <c r="D47" s="11"/>
      <c r="E47" s="11"/>
      <c r="F47" s="11"/>
    </row>
    <row r="48" spans="2:6" x14ac:dyDescent="0.3">
      <c r="B48" s="10"/>
      <c r="D48" s="11"/>
      <c r="E48" s="11"/>
      <c r="F48" s="11"/>
    </row>
    <row r="49" spans="2:6" x14ac:dyDescent="0.3">
      <c r="B49" s="10"/>
      <c r="D49" s="11"/>
      <c r="E49" s="11"/>
      <c r="F49" s="11"/>
    </row>
    <row r="50" spans="2:6" x14ac:dyDescent="0.3">
      <c r="D50" s="11"/>
      <c r="E50" s="11"/>
      <c r="F50" s="11"/>
    </row>
    <row r="52" spans="2:6" x14ac:dyDescent="0.3">
      <c r="D52" s="11"/>
      <c r="E52" s="11"/>
      <c r="F52" s="11"/>
    </row>
    <row r="53" spans="2:6" x14ac:dyDescent="0.3">
      <c r="D53" s="11"/>
      <c r="E53" s="11"/>
      <c r="F53" s="11"/>
    </row>
    <row r="54" spans="2:6" x14ac:dyDescent="0.3">
      <c r="D54" s="11"/>
      <c r="E54" s="11"/>
      <c r="F54" s="11"/>
    </row>
  </sheetData>
  <sheetProtection algorithmName="SHA-512" hashValue="3sZcyli9ZXXuShAIWcpJ/wVdWIFg6u8CUIAVaTSPLu86UbCTpUEaAo8C9nq2TFBh+4XkSQoZ3ZL+tzFb1hFfsA==" saltValue="Vz+8nf7YI7AuBGctFMry3w==" spinCount="100000" sheet="1" objects="1" scenarios="1"/>
  <mergeCells count="1">
    <mergeCell ref="G2:J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6FF66"/>
  </sheetPr>
  <dimension ref="A1:O42"/>
  <sheetViews>
    <sheetView zoomScale="102" zoomScaleNormal="102" workbookViewId="0">
      <selection activeCell="K24" sqref="K24"/>
    </sheetView>
  </sheetViews>
  <sheetFormatPr defaultColWidth="9.109375" defaultRowHeight="14.4" x14ac:dyDescent="0.3"/>
  <cols>
    <col min="1" max="1" width="10.77734375" style="2" bestFit="1" customWidth="1"/>
    <col min="2" max="3" width="7" style="2" bestFit="1" customWidth="1"/>
    <col min="4" max="10" width="9.109375" style="2"/>
    <col min="11" max="11" width="10.109375" style="2" bestFit="1" customWidth="1"/>
    <col min="12" max="17" width="9.109375" style="2"/>
    <col min="18" max="18" width="11.44140625" style="2" bestFit="1" customWidth="1"/>
    <col min="19" max="16384" width="9.109375" style="2"/>
  </cols>
  <sheetData>
    <row r="1" spans="1:15" x14ac:dyDescent="0.3">
      <c r="A1" s="12" t="s">
        <v>0</v>
      </c>
      <c r="B1" s="12" t="s">
        <v>16</v>
      </c>
      <c r="C1" s="1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3</v>
      </c>
      <c r="J1" s="2">
        <f ca="1">IFERROR(_xlfn.STDEV.S($B$2:$B$21),"")</f>
        <v>1.4142135623731277E-2</v>
      </c>
      <c r="K1" s="2" t="s">
        <v>0</v>
      </c>
      <c r="L1" s="2" t="s">
        <v>19</v>
      </c>
    </row>
    <row r="2" spans="1:15" x14ac:dyDescent="0.3">
      <c r="A2" s="14">
        <f ca="1">IFERROR(IF(INDIRECT($O$8 &amp; "!B"&amp;ROW()+4)="","",INDIRECT($O$8 &amp; "!B"&amp;ROW()+4)),"")</f>
        <v>46054</v>
      </c>
      <c r="B2" s="12">
        <f ca="1">IFERROR(IF(INDIRECT($O$8 &amp; "!C"&amp;ROW()+4)="","",INDIRECT($O$8 &amp; "!C"&amp;ROW()+4)),"")</f>
        <v>7.03</v>
      </c>
      <c r="C2" s="13">
        <f ca="1">IFERROR(IF(B2="",C1,F2+3*J$1),"")</f>
        <v>7.0624264068711931</v>
      </c>
      <c r="D2" s="13">
        <f ca="1">IFERROR(IF(B2="",D1,F2+2*J$1),"")</f>
        <v>7.0482842712474625</v>
      </c>
      <c r="E2" s="13">
        <f ca="1">IFERROR(IF(B2="",E1,F2+1*J$1),"")</f>
        <v>7.034142135623731</v>
      </c>
      <c r="F2" s="13">
        <f ca="1">IFERROR(AVERAGE($B$2:$B$21),"")</f>
        <v>7.02</v>
      </c>
      <c r="G2" s="13">
        <f ca="1">IFERROR(IF(B2="",G1,F2-1*J$1),"")</f>
        <v>7.0058578643762681</v>
      </c>
      <c r="H2" s="13">
        <f ca="1">IFERROR(IF(B2="",H1,F2-2*J$1),"")</f>
        <v>6.9917157287525367</v>
      </c>
      <c r="I2" s="13">
        <f ca="1">IFERROR(IF(B2="",I1,F2-3*J$1),"")</f>
        <v>6.9775735931288061</v>
      </c>
      <c r="K2" s="25" t="str">
        <f ca="1">IFERROR(IF(INDIRECT($O$9 &amp; "!B"&amp;ROW()+4)="","",INDIRECT($O$9 &amp; "!B"&amp;ROW()+4)),"")</f>
        <v/>
      </c>
      <c r="L2" s="2" t="str">
        <f ca="1">IFERROR(IF(INDIRECT($O$9 &amp; "!C"&amp;ROW()+4)="","",INDIRECT($O$9 &amp; "!C"&amp;ROW()+4)),"")</f>
        <v/>
      </c>
    </row>
    <row r="3" spans="1:15" x14ac:dyDescent="0.3">
      <c r="A3" s="14">
        <f t="shared" ref="A3:A21" ca="1" si="0">IFERROR(IF(INDIRECT($O$8 &amp; "!B"&amp;ROW()+4)="","",INDIRECT($O$8 &amp; "!B"&amp;ROW()+4)),"")</f>
        <v>46082</v>
      </c>
      <c r="B3" s="12">
        <f t="shared" ref="B3:B21" ca="1" si="1">IFERROR(IF(INDIRECT($O$8 &amp; "!C"&amp;ROW()+4)="","",INDIRECT($O$8 &amp; "!C"&amp;ROW()+4)),"")</f>
        <v>7.01</v>
      </c>
      <c r="C3" s="13">
        <f t="shared" ref="C3:C21" ca="1" si="2">IFERROR(IF(B3="",C2,F3+3*J$1),"")</f>
        <v>7.0624264068711931</v>
      </c>
      <c r="D3" s="13">
        <f t="shared" ref="D3:D21" ca="1" si="3">IFERROR(IF(B3="",D2,F3+2*J$1),"")</f>
        <v>7.0482842712474625</v>
      </c>
      <c r="E3" s="13">
        <f t="shared" ref="E3:E21" ca="1" si="4">IFERROR(IF(B3="",E2,F3+1*J$1),"")</f>
        <v>7.034142135623731</v>
      </c>
      <c r="F3" s="13">
        <f t="shared" ref="F3:F21" ca="1" si="5">IFERROR(AVERAGE($B$2:$B$21),"")</f>
        <v>7.02</v>
      </c>
      <c r="G3" s="13">
        <f t="shared" ref="G3:G21" ca="1" si="6">IFERROR(IF(B3="",G2,F3-1*J$1),"")</f>
        <v>7.0058578643762681</v>
      </c>
      <c r="H3" s="13">
        <f t="shared" ref="H3:H21" ca="1" si="7">IFERROR(IF(B3="",H2,F3-2*J$1),"")</f>
        <v>6.9917157287525367</v>
      </c>
      <c r="I3" s="13">
        <f t="shared" ref="I3:I21" ca="1" si="8">IFERROR(IF(B3="",I2,F3-3*J$1),"")</f>
        <v>6.9775735931288061</v>
      </c>
      <c r="K3" s="25" t="str">
        <f t="shared" ref="K3:K21" ca="1" si="9">IFERROR(IF(INDIRECT($O$9 &amp; "!B"&amp;ROW()+4)="","",INDIRECT($O$9 &amp; "!B"&amp;ROW()+4)),"")</f>
        <v/>
      </c>
      <c r="L3" s="2" t="str">
        <f t="shared" ref="L3:L21" ca="1" si="10">IFERROR(IF(INDIRECT($O$9 &amp; "!C"&amp;ROW()+4)="","",INDIRECT($O$9 &amp; "!C"&amp;ROW()+4)),"")</f>
        <v/>
      </c>
    </row>
    <row r="4" spans="1:15" x14ac:dyDescent="0.3">
      <c r="A4" s="14" t="str">
        <f t="shared" ca="1" si="0"/>
        <v/>
      </c>
      <c r="B4" s="12" t="str">
        <f t="shared" ca="1" si="1"/>
        <v/>
      </c>
      <c r="C4" s="13">
        <f t="shared" ca="1" si="2"/>
        <v>7.0624264068711931</v>
      </c>
      <c r="D4" s="13">
        <f t="shared" ca="1" si="3"/>
        <v>7.0482842712474625</v>
      </c>
      <c r="E4" s="13">
        <f t="shared" ca="1" si="4"/>
        <v>7.034142135623731</v>
      </c>
      <c r="F4" s="13">
        <f t="shared" ca="1" si="5"/>
        <v>7.02</v>
      </c>
      <c r="G4" s="13">
        <f t="shared" ca="1" si="6"/>
        <v>7.0058578643762681</v>
      </c>
      <c r="H4" s="13">
        <f t="shared" ca="1" si="7"/>
        <v>6.9917157287525367</v>
      </c>
      <c r="I4" s="13">
        <f t="shared" ca="1" si="8"/>
        <v>6.9775735931288061</v>
      </c>
      <c r="K4" s="25" t="str">
        <f t="shared" ca="1" si="9"/>
        <v/>
      </c>
      <c r="L4" s="2" t="str">
        <f t="shared" ca="1" si="10"/>
        <v/>
      </c>
    </row>
    <row r="5" spans="1:15" x14ac:dyDescent="0.3">
      <c r="A5" s="14" t="str">
        <f t="shared" ca="1" si="0"/>
        <v/>
      </c>
      <c r="B5" s="12" t="str">
        <f t="shared" ca="1" si="1"/>
        <v/>
      </c>
      <c r="C5" s="13">
        <f t="shared" ca="1" si="2"/>
        <v>7.0624264068711931</v>
      </c>
      <c r="D5" s="13">
        <f t="shared" ca="1" si="3"/>
        <v>7.0482842712474625</v>
      </c>
      <c r="E5" s="13">
        <f t="shared" ca="1" si="4"/>
        <v>7.034142135623731</v>
      </c>
      <c r="F5" s="13">
        <f t="shared" ca="1" si="5"/>
        <v>7.02</v>
      </c>
      <c r="G5" s="13">
        <f t="shared" ca="1" si="6"/>
        <v>7.0058578643762681</v>
      </c>
      <c r="H5" s="13">
        <f t="shared" ca="1" si="7"/>
        <v>6.9917157287525367</v>
      </c>
      <c r="I5" s="13">
        <f t="shared" ca="1" si="8"/>
        <v>6.9775735931288061</v>
      </c>
      <c r="K5" s="25" t="str">
        <f t="shared" ca="1" si="9"/>
        <v/>
      </c>
      <c r="L5" s="2" t="str">
        <f t="shared" ca="1" si="10"/>
        <v/>
      </c>
    </row>
    <row r="6" spans="1:15" x14ac:dyDescent="0.3">
      <c r="A6" s="14" t="str">
        <f t="shared" ca="1" si="0"/>
        <v/>
      </c>
      <c r="B6" s="12" t="str">
        <f t="shared" ca="1" si="1"/>
        <v/>
      </c>
      <c r="C6" s="13">
        <f t="shared" ca="1" si="2"/>
        <v>7.0624264068711931</v>
      </c>
      <c r="D6" s="13">
        <f t="shared" ca="1" si="3"/>
        <v>7.0482842712474625</v>
      </c>
      <c r="E6" s="13">
        <f t="shared" ca="1" si="4"/>
        <v>7.034142135623731</v>
      </c>
      <c r="F6" s="13">
        <f t="shared" ca="1" si="5"/>
        <v>7.02</v>
      </c>
      <c r="G6" s="13">
        <f t="shared" ca="1" si="6"/>
        <v>7.0058578643762681</v>
      </c>
      <c r="H6" s="13">
        <f t="shared" ca="1" si="7"/>
        <v>6.9917157287525367</v>
      </c>
      <c r="I6" s="13">
        <f t="shared" ca="1" si="8"/>
        <v>6.9775735931288061</v>
      </c>
      <c r="K6" s="25" t="str">
        <f t="shared" ca="1" si="9"/>
        <v/>
      </c>
      <c r="L6" s="2" t="str">
        <f t="shared" ca="1" si="10"/>
        <v/>
      </c>
    </row>
    <row r="7" spans="1:15" x14ac:dyDescent="0.3">
      <c r="A7" s="14" t="str">
        <f t="shared" ca="1" si="0"/>
        <v/>
      </c>
      <c r="B7" s="12" t="str">
        <f t="shared" ca="1" si="1"/>
        <v/>
      </c>
      <c r="C7" s="13">
        <f t="shared" ca="1" si="2"/>
        <v>7.0624264068711931</v>
      </c>
      <c r="D7" s="13">
        <f t="shared" ca="1" si="3"/>
        <v>7.0482842712474625</v>
      </c>
      <c r="E7" s="13">
        <f t="shared" ca="1" si="4"/>
        <v>7.034142135623731</v>
      </c>
      <c r="F7" s="13">
        <f t="shared" ca="1" si="5"/>
        <v>7.02</v>
      </c>
      <c r="G7" s="13">
        <f t="shared" ca="1" si="6"/>
        <v>7.0058578643762681</v>
      </c>
      <c r="H7" s="13">
        <f t="shared" ca="1" si="7"/>
        <v>6.9917157287525367</v>
      </c>
      <c r="I7" s="13">
        <f t="shared" ca="1" si="8"/>
        <v>6.9775735931288061</v>
      </c>
      <c r="K7" s="25" t="str">
        <f t="shared" ca="1" si="9"/>
        <v/>
      </c>
      <c r="L7" s="2" t="str">
        <f t="shared" ca="1" si="10"/>
        <v/>
      </c>
      <c r="N7" s="26"/>
      <c r="O7" s="26"/>
    </row>
    <row r="8" spans="1:15" x14ac:dyDescent="0.3">
      <c r="A8" s="14" t="str">
        <f t="shared" ca="1" si="0"/>
        <v/>
      </c>
      <c r="B8" s="12" t="str">
        <f t="shared" ca="1" si="1"/>
        <v/>
      </c>
      <c r="C8" s="13">
        <f t="shared" ca="1" si="2"/>
        <v>7.0624264068711931</v>
      </c>
      <c r="D8" s="13">
        <f t="shared" ca="1" si="3"/>
        <v>7.0482842712474625</v>
      </c>
      <c r="E8" s="13">
        <f t="shared" ca="1" si="4"/>
        <v>7.034142135623731</v>
      </c>
      <c r="F8" s="13">
        <f t="shared" ca="1" si="5"/>
        <v>7.02</v>
      </c>
      <c r="G8" s="13">
        <f t="shared" ca="1" si="6"/>
        <v>7.0058578643762681</v>
      </c>
      <c r="H8" s="13">
        <f t="shared" ca="1" si="7"/>
        <v>6.9917157287525367</v>
      </c>
      <c r="I8" s="13">
        <f t="shared" ca="1" si="8"/>
        <v>6.9775735931288061</v>
      </c>
      <c r="K8" s="25" t="str">
        <f t="shared" ca="1" si="9"/>
        <v/>
      </c>
      <c r="L8" s="2" t="str">
        <f t="shared" ca="1" si="10"/>
        <v/>
      </c>
      <c r="N8" s="26"/>
      <c r="O8" s="26" t="s">
        <v>21</v>
      </c>
    </row>
    <row r="9" spans="1:15" x14ac:dyDescent="0.3">
      <c r="A9" s="14" t="str">
        <f t="shared" ca="1" si="0"/>
        <v/>
      </c>
      <c r="B9" s="12" t="str">
        <f t="shared" ca="1" si="1"/>
        <v/>
      </c>
      <c r="C9" s="13">
        <f t="shared" ca="1" si="2"/>
        <v>7.0624264068711931</v>
      </c>
      <c r="D9" s="13">
        <f t="shared" ca="1" si="3"/>
        <v>7.0482842712474625</v>
      </c>
      <c r="E9" s="13">
        <f t="shared" ca="1" si="4"/>
        <v>7.034142135623731</v>
      </c>
      <c r="F9" s="13">
        <f t="shared" ca="1" si="5"/>
        <v>7.02</v>
      </c>
      <c r="G9" s="13">
        <f t="shared" ca="1" si="6"/>
        <v>7.0058578643762681</v>
      </c>
      <c r="H9" s="13">
        <f t="shared" ca="1" si="7"/>
        <v>6.9917157287525367</v>
      </c>
      <c r="I9" s="13">
        <f t="shared" ca="1" si="8"/>
        <v>6.9775735931288061</v>
      </c>
      <c r="K9" s="25" t="str">
        <f t="shared" ca="1" si="9"/>
        <v/>
      </c>
      <c r="L9" s="2" t="str">
        <f t="shared" ca="1" si="10"/>
        <v/>
      </c>
      <c r="N9" s="26"/>
      <c r="O9" s="26" t="s">
        <v>19</v>
      </c>
    </row>
    <row r="10" spans="1:15" x14ac:dyDescent="0.3">
      <c r="A10" s="14" t="str">
        <f t="shared" ca="1" si="0"/>
        <v/>
      </c>
      <c r="B10" s="12" t="str">
        <f t="shared" ca="1" si="1"/>
        <v/>
      </c>
      <c r="C10" s="13">
        <f t="shared" ca="1" si="2"/>
        <v>7.0624264068711931</v>
      </c>
      <c r="D10" s="13">
        <f t="shared" ca="1" si="3"/>
        <v>7.0482842712474625</v>
      </c>
      <c r="E10" s="13">
        <f t="shared" ca="1" si="4"/>
        <v>7.034142135623731</v>
      </c>
      <c r="F10" s="13">
        <f t="shared" ca="1" si="5"/>
        <v>7.02</v>
      </c>
      <c r="G10" s="13">
        <f t="shared" ca="1" si="6"/>
        <v>7.0058578643762681</v>
      </c>
      <c r="H10" s="13">
        <f t="shared" ca="1" si="7"/>
        <v>6.9917157287525367</v>
      </c>
      <c r="I10" s="13">
        <f t="shared" ca="1" si="8"/>
        <v>6.9775735931288061</v>
      </c>
      <c r="K10" s="25" t="str">
        <f t="shared" ca="1" si="9"/>
        <v/>
      </c>
      <c r="L10" s="2" t="str">
        <f t="shared" ca="1" si="10"/>
        <v/>
      </c>
      <c r="N10" s="26"/>
      <c r="O10" s="26"/>
    </row>
    <row r="11" spans="1:15" x14ac:dyDescent="0.3">
      <c r="A11" s="14" t="str">
        <f t="shared" ca="1" si="0"/>
        <v/>
      </c>
      <c r="B11" s="12" t="str">
        <f t="shared" ca="1" si="1"/>
        <v/>
      </c>
      <c r="C11" s="13">
        <f t="shared" ca="1" si="2"/>
        <v>7.0624264068711931</v>
      </c>
      <c r="D11" s="13">
        <f t="shared" ca="1" si="3"/>
        <v>7.0482842712474625</v>
      </c>
      <c r="E11" s="13">
        <f t="shared" ca="1" si="4"/>
        <v>7.034142135623731</v>
      </c>
      <c r="F11" s="13">
        <f t="shared" ca="1" si="5"/>
        <v>7.02</v>
      </c>
      <c r="G11" s="13">
        <f t="shared" ca="1" si="6"/>
        <v>7.0058578643762681</v>
      </c>
      <c r="H11" s="13">
        <f t="shared" ca="1" si="7"/>
        <v>6.9917157287525367</v>
      </c>
      <c r="I11" s="13">
        <f t="shared" ca="1" si="8"/>
        <v>6.9775735931288061</v>
      </c>
      <c r="K11" s="25" t="str">
        <f t="shared" ca="1" si="9"/>
        <v/>
      </c>
      <c r="L11" s="2" t="str">
        <f t="shared" ca="1" si="10"/>
        <v/>
      </c>
    </row>
    <row r="12" spans="1:15" x14ac:dyDescent="0.3">
      <c r="A12" s="14" t="str">
        <f t="shared" ca="1" si="0"/>
        <v/>
      </c>
      <c r="B12" s="12" t="str">
        <f t="shared" ca="1" si="1"/>
        <v/>
      </c>
      <c r="C12" s="13">
        <f t="shared" ca="1" si="2"/>
        <v>7.0624264068711931</v>
      </c>
      <c r="D12" s="13">
        <f t="shared" ca="1" si="3"/>
        <v>7.0482842712474625</v>
      </c>
      <c r="E12" s="13">
        <f t="shared" ca="1" si="4"/>
        <v>7.034142135623731</v>
      </c>
      <c r="F12" s="13">
        <f t="shared" ca="1" si="5"/>
        <v>7.02</v>
      </c>
      <c r="G12" s="13">
        <f t="shared" ca="1" si="6"/>
        <v>7.0058578643762681</v>
      </c>
      <c r="H12" s="13">
        <f t="shared" ca="1" si="7"/>
        <v>6.9917157287525367</v>
      </c>
      <c r="I12" s="13">
        <f t="shared" ca="1" si="8"/>
        <v>6.9775735931288061</v>
      </c>
      <c r="K12" s="25" t="str">
        <f t="shared" ca="1" si="9"/>
        <v/>
      </c>
      <c r="L12" s="2" t="str">
        <f t="shared" ca="1" si="10"/>
        <v/>
      </c>
    </row>
    <row r="13" spans="1:15" x14ac:dyDescent="0.3">
      <c r="A13" s="14" t="str">
        <f t="shared" ca="1" si="0"/>
        <v/>
      </c>
      <c r="B13" s="12" t="str">
        <f t="shared" ca="1" si="1"/>
        <v/>
      </c>
      <c r="C13" s="13">
        <f t="shared" ca="1" si="2"/>
        <v>7.0624264068711931</v>
      </c>
      <c r="D13" s="13">
        <f t="shared" ca="1" si="3"/>
        <v>7.0482842712474625</v>
      </c>
      <c r="E13" s="13">
        <f t="shared" ca="1" si="4"/>
        <v>7.034142135623731</v>
      </c>
      <c r="F13" s="13">
        <f t="shared" ca="1" si="5"/>
        <v>7.02</v>
      </c>
      <c r="G13" s="13">
        <f t="shared" ca="1" si="6"/>
        <v>7.0058578643762681</v>
      </c>
      <c r="H13" s="13">
        <f t="shared" ca="1" si="7"/>
        <v>6.9917157287525367</v>
      </c>
      <c r="I13" s="13">
        <f t="shared" ca="1" si="8"/>
        <v>6.9775735931288061</v>
      </c>
      <c r="K13" s="25" t="str">
        <f t="shared" ca="1" si="9"/>
        <v/>
      </c>
      <c r="L13" s="2" t="str">
        <f t="shared" ca="1" si="10"/>
        <v/>
      </c>
    </row>
    <row r="14" spans="1:15" x14ac:dyDescent="0.3">
      <c r="A14" s="14" t="str">
        <f t="shared" ca="1" si="0"/>
        <v/>
      </c>
      <c r="B14" s="12" t="str">
        <f t="shared" ca="1" si="1"/>
        <v/>
      </c>
      <c r="C14" s="13">
        <f t="shared" ca="1" si="2"/>
        <v>7.0624264068711931</v>
      </c>
      <c r="D14" s="13">
        <f t="shared" ca="1" si="3"/>
        <v>7.0482842712474625</v>
      </c>
      <c r="E14" s="13">
        <f t="shared" ca="1" si="4"/>
        <v>7.034142135623731</v>
      </c>
      <c r="F14" s="13">
        <f t="shared" ca="1" si="5"/>
        <v>7.02</v>
      </c>
      <c r="G14" s="13">
        <f t="shared" ca="1" si="6"/>
        <v>7.0058578643762681</v>
      </c>
      <c r="H14" s="13">
        <f t="shared" ca="1" si="7"/>
        <v>6.9917157287525367</v>
      </c>
      <c r="I14" s="13">
        <f t="shared" ca="1" si="8"/>
        <v>6.9775735931288061</v>
      </c>
      <c r="K14" s="25" t="str">
        <f t="shared" ca="1" si="9"/>
        <v/>
      </c>
      <c r="L14" s="2" t="str">
        <f t="shared" ca="1" si="10"/>
        <v/>
      </c>
    </row>
    <row r="15" spans="1:15" x14ac:dyDescent="0.3">
      <c r="A15" s="14" t="str">
        <f t="shared" ca="1" si="0"/>
        <v/>
      </c>
      <c r="B15" s="12" t="str">
        <f t="shared" ca="1" si="1"/>
        <v/>
      </c>
      <c r="C15" s="13">
        <f t="shared" ca="1" si="2"/>
        <v>7.0624264068711931</v>
      </c>
      <c r="D15" s="13">
        <f t="shared" ca="1" si="3"/>
        <v>7.0482842712474625</v>
      </c>
      <c r="E15" s="13">
        <f t="shared" ca="1" si="4"/>
        <v>7.034142135623731</v>
      </c>
      <c r="F15" s="13">
        <f t="shared" ca="1" si="5"/>
        <v>7.02</v>
      </c>
      <c r="G15" s="13">
        <f t="shared" ca="1" si="6"/>
        <v>7.0058578643762681</v>
      </c>
      <c r="H15" s="13">
        <f t="shared" ca="1" si="7"/>
        <v>6.9917157287525367</v>
      </c>
      <c r="I15" s="13">
        <f t="shared" ca="1" si="8"/>
        <v>6.9775735931288061</v>
      </c>
      <c r="K15" s="25" t="str">
        <f t="shared" ca="1" si="9"/>
        <v/>
      </c>
      <c r="L15" s="2" t="str">
        <f t="shared" ca="1" si="10"/>
        <v/>
      </c>
    </row>
    <row r="16" spans="1:15" x14ac:dyDescent="0.3">
      <c r="A16" s="14" t="str">
        <f t="shared" ca="1" si="0"/>
        <v/>
      </c>
      <c r="B16" s="12" t="str">
        <f t="shared" ca="1" si="1"/>
        <v/>
      </c>
      <c r="C16" s="13">
        <f t="shared" ca="1" si="2"/>
        <v>7.0624264068711931</v>
      </c>
      <c r="D16" s="13">
        <f t="shared" ca="1" si="3"/>
        <v>7.0482842712474625</v>
      </c>
      <c r="E16" s="13">
        <f t="shared" ca="1" si="4"/>
        <v>7.034142135623731</v>
      </c>
      <c r="F16" s="13">
        <f t="shared" ca="1" si="5"/>
        <v>7.02</v>
      </c>
      <c r="G16" s="13">
        <f t="shared" ca="1" si="6"/>
        <v>7.0058578643762681</v>
      </c>
      <c r="H16" s="13">
        <f t="shared" ca="1" si="7"/>
        <v>6.9917157287525367</v>
      </c>
      <c r="I16" s="13">
        <f t="shared" ca="1" si="8"/>
        <v>6.9775735931288061</v>
      </c>
      <c r="K16" s="25" t="str">
        <f t="shared" ca="1" si="9"/>
        <v/>
      </c>
      <c r="L16" s="2" t="str">
        <f t="shared" ca="1" si="10"/>
        <v/>
      </c>
    </row>
    <row r="17" spans="1:12" x14ac:dyDescent="0.3">
      <c r="A17" s="14" t="str">
        <f t="shared" ca="1" si="0"/>
        <v/>
      </c>
      <c r="B17" s="12" t="str">
        <f t="shared" ca="1" si="1"/>
        <v/>
      </c>
      <c r="C17" s="13">
        <f t="shared" ca="1" si="2"/>
        <v>7.0624264068711931</v>
      </c>
      <c r="D17" s="13">
        <f t="shared" ca="1" si="3"/>
        <v>7.0482842712474625</v>
      </c>
      <c r="E17" s="13">
        <f t="shared" ca="1" si="4"/>
        <v>7.034142135623731</v>
      </c>
      <c r="F17" s="13">
        <f t="shared" ca="1" si="5"/>
        <v>7.02</v>
      </c>
      <c r="G17" s="13">
        <f t="shared" ca="1" si="6"/>
        <v>7.0058578643762681</v>
      </c>
      <c r="H17" s="13">
        <f t="shared" ca="1" si="7"/>
        <v>6.9917157287525367</v>
      </c>
      <c r="I17" s="13">
        <f t="shared" ca="1" si="8"/>
        <v>6.9775735931288061</v>
      </c>
      <c r="K17" s="25" t="str">
        <f t="shared" ca="1" si="9"/>
        <v/>
      </c>
      <c r="L17" s="2" t="str">
        <f t="shared" ca="1" si="10"/>
        <v/>
      </c>
    </row>
    <row r="18" spans="1:12" x14ac:dyDescent="0.3">
      <c r="A18" s="14" t="str">
        <f t="shared" ca="1" si="0"/>
        <v/>
      </c>
      <c r="B18" s="12" t="str">
        <f t="shared" ca="1" si="1"/>
        <v/>
      </c>
      <c r="C18" s="13">
        <f t="shared" ca="1" si="2"/>
        <v>7.0624264068711931</v>
      </c>
      <c r="D18" s="13">
        <f t="shared" ca="1" si="3"/>
        <v>7.0482842712474625</v>
      </c>
      <c r="E18" s="13">
        <f t="shared" ca="1" si="4"/>
        <v>7.034142135623731</v>
      </c>
      <c r="F18" s="13">
        <f t="shared" ca="1" si="5"/>
        <v>7.02</v>
      </c>
      <c r="G18" s="13">
        <f t="shared" ca="1" si="6"/>
        <v>7.0058578643762681</v>
      </c>
      <c r="H18" s="13">
        <f t="shared" ca="1" si="7"/>
        <v>6.9917157287525367</v>
      </c>
      <c r="I18" s="13">
        <f t="shared" ca="1" si="8"/>
        <v>6.9775735931288061</v>
      </c>
      <c r="K18" s="25" t="str">
        <f t="shared" ca="1" si="9"/>
        <v/>
      </c>
      <c r="L18" s="2" t="str">
        <f t="shared" ca="1" si="10"/>
        <v/>
      </c>
    </row>
    <row r="19" spans="1:12" x14ac:dyDescent="0.3">
      <c r="A19" s="14" t="str">
        <f t="shared" ca="1" si="0"/>
        <v/>
      </c>
      <c r="B19" s="12" t="str">
        <f t="shared" ca="1" si="1"/>
        <v/>
      </c>
      <c r="C19" s="13">
        <f t="shared" ca="1" si="2"/>
        <v>7.0624264068711931</v>
      </c>
      <c r="D19" s="13">
        <f t="shared" ca="1" si="3"/>
        <v>7.0482842712474625</v>
      </c>
      <c r="E19" s="13">
        <f t="shared" ca="1" si="4"/>
        <v>7.034142135623731</v>
      </c>
      <c r="F19" s="13">
        <f t="shared" ca="1" si="5"/>
        <v>7.02</v>
      </c>
      <c r="G19" s="13">
        <f t="shared" ca="1" si="6"/>
        <v>7.0058578643762681</v>
      </c>
      <c r="H19" s="13">
        <f t="shared" ca="1" si="7"/>
        <v>6.9917157287525367</v>
      </c>
      <c r="I19" s="13">
        <f t="shared" ca="1" si="8"/>
        <v>6.9775735931288061</v>
      </c>
      <c r="K19" s="25" t="str">
        <f t="shared" ca="1" si="9"/>
        <v/>
      </c>
      <c r="L19" s="2" t="str">
        <f t="shared" ca="1" si="10"/>
        <v/>
      </c>
    </row>
    <row r="20" spans="1:12" x14ac:dyDescent="0.3">
      <c r="A20" s="14" t="str">
        <f t="shared" ca="1" si="0"/>
        <v/>
      </c>
      <c r="B20" s="12" t="str">
        <f t="shared" ca="1" si="1"/>
        <v/>
      </c>
      <c r="C20" s="13">
        <f t="shared" ca="1" si="2"/>
        <v>7.0624264068711931</v>
      </c>
      <c r="D20" s="13">
        <f t="shared" ca="1" si="3"/>
        <v>7.0482842712474625</v>
      </c>
      <c r="E20" s="13">
        <f t="shared" ca="1" si="4"/>
        <v>7.034142135623731</v>
      </c>
      <c r="F20" s="13">
        <f t="shared" ca="1" si="5"/>
        <v>7.02</v>
      </c>
      <c r="G20" s="13">
        <f t="shared" ca="1" si="6"/>
        <v>7.0058578643762681</v>
      </c>
      <c r="H20" s="13">
        <f t="shared" ca="1" si="7"/>
        <v>6.9917157287525367</v>
      </c>
      <c r="I20" s="13">
        <f t="shared" ca="1" si="8"/>
        <v>6.9775735931288061</v>
      </c>
      <c r="K20" s="25" t="str">
        <f t="shared" ca="1" si="9"/>
        <v/>
      </c>
      <c r="L20" s="2" t="str">
        <f t="shared" ca="1" si="10"/>
        <v/>
      </c>
    </row>
    <row r="21" spans="1:12" x14ac:dyDescent="0.3">
      <c r="A21" s="14" t="str">
        <f t="shared" ca="1" si="0"/>
        <v/>
      </c>
      <c r="B21" s="12" t="str">
        <f t="shared" ca="1" si="1"/>
        <v/>
      </c>
      <c r="C21" s="13">
        <f t="shared" ca="1" si="2"/>
        <v>7.0624264068711931</v>
      </c>
      <c r="D21" s="13">
        <f t="shared" ca="1" si="3"/>
        <v>7.0482842712474625</v>
      </c>
      <c r="E21" s="13">
        <f t="shared" ca="1" si="4"/>
        <v>7.034142135623731</v>
      </c>
      <c r="F21" s="13">
        <f t="shared" ca="1" si="5"/>
        <v>7.02</v>
      </c>
      <c r="G21" s="13">
        <f t="shared" ca="1" si="6"/>
        <v>7.0058578643762681</v>
      </c>
      <c r="H21" s="13">
        <f t="shared" ca="1" si="7"/>
        <v>6.9917157287525367</v>
      </c>
      <c r="I21" s="13">
        <f t="shared" ca="1" si="8"/>
        <v>6.9775735931288061</v>
      </c>
      <c r="K21" s="25" t="str">
        <f t="shared" ca="1" si="9"/>
        <v/>
      </c>
      <c r="L21" s="2" t="str">
        <f t="shared" ca="1" si="10"/>
        <v/>
      </c>
    </row>
    <row r="22" spans="1:12" x14ac:dyDescent="0.3">
      <c r="B22" s="28"/>
      <c r="C22" s="28"/>
      <c r="D22" s="28"/>
      <c r="E22" s="28"/>
      <c r="F22" s="28"/>
      <c r="G22" s="28"/>
      <c r="H22" s="28"/>
      <c r="I22" s="28"/>
      <c r="J22" s="28"/>
      <c r="K22" s="14" t="s">
        <v>22</v>
      </c>
      <c r="L22" s="2">
        <f t="shared" ref="C22:L22" ca="1" si="11">(MIN(L2:L21))-0.1</f>
        <v>-0.1</v>
      </c>
    </row>
    <row r="23" spans="1:12" x14ac:dyDescent="0.3">
      <c r="B23" s="28"/>
      <c r="C23" s="28"/>
      <c r="D23" s="28"/>
      <c r="E23" s="28"/>
      <c r="F23" s="28"/>
      <c r="G23" s="28"/>
      <c r="H23" s="28"/>
      <c r="I23" s="28"/>
      <c r="J23" s="28"/>
      <c r="K23" s="14" t="s">
        <v>23</v>
      </c>
      <c r="L23" s="2">
        <f t="shared" ref="C23:L23" ca="1" si="12">(MAX(L2:L21))+0.1</f>
        <v>0.1</v>
      </c>
    </row>
    <row r="24" spans="1:12" x14ac:dyDescent="0.3">
      <c r="A24" s="14"/>
      <c r="B24" s="12"/>
    </row>
    <row r="25" spans="1:12" x14ac:dyDescent="0.3">
      <c r="A25" s="14"/>
      <c r="B25" s="12"/>
    </row>
    <row r="26" spans="1:12" x14ac:dyDescent="0.3">
      <c r="A26" s="14"/>
      <c r="B26" s="12"/>
    </row>
    <row r="27" spans="1:12" x14ac:dyDescent="0.3">
      <c r="A27" s="14"/>
      <c r="B27" s="12"/>
    </row>
    <row r="28" spans="1:12" x14ac:dyDescent="0.3">
      <c r="A28" s="14"/>
      <c r="B28" s="12"/>
    </row>
    <row r="29" spans="1:12" x14ac:dyDescent="0.3">
      <c r="A29" s="14"/>
      <c r="B29" s="12"/>
    </row>
    <row r="30" spans="1:12" x14ac:dyDescent="0.3">
      <c r="A30" s="14"/>
      <c r="B30" s="12"/>
    </row>
    <row r="31" spans="1:12" x14ac:dyDescent="0.3">
      <c r="A31" s="14"/>
      <c r="B31" s="12"/>
    </row>
    <row r="32" spans="1:12" x14ac:dyDescent="0.3">
      <c r="A32" s="14"/>
      <c r="B32" s="12"/>
    </row>
    <row r="33" spans="1:2" x14ac:dyDescent="0.3">
      <c r="A33" s="14"/>
      <c r="B33" s="12"/>
    </row>
    <row r="34" spans="1:2" x14ac:dyDescent="0.3">
      <c r="A34" s="14"/>
      <c r="B34" s="12"/>
    </row>
    <row r="35" spans="1:2" x14ac:dyDescent="0.3">
      <c r="A35" s="14"/>
      <c r="B35" s="12"/>
    </row>
    <row r="36" spans="1:2" x14ac:dyDescent="0.3">
      <c r="A36" s="14"/>
      <c r="B36" s="12"/>
    </row>
    <row r="37" spans="1:2" x14ac:dyDescent="0.3">
      <c r="A37" s="14"/>
      <c r="B37" s="12"/>
    </row>
    <row r="38" spans="1:2" x14ac:dyDescent="0.3">
      <c r="A38" s="14"/>
      <c r="B38" s="12"/>
    </row>
    <row r="39" spans="1:2" x14ac:dyDescent="0.3">
      <c r="A39" s="14"/>
      <c r="B39" s="12"/>
    </row>
    <row r="40" spans="1:2" x14ac:dyDescent="0.3">
      <c r="A40" s="14"/>
      <c r="B40" s="12"/>
    </row>
    <row r="41" spans="1:2" x14ac:dyDescent="0.3">
      <c r="A41" s="14"/>
      <c r="B41" s="12"/>
    </row>
    <row r="42" spans="1:2" x14ac:dyDescent="0.3">
      <c r="A42" s="14"/>
      <c r="B42" s="12"/>
    </row>
  </sheetData>
  <pageMargins left="0.7" right="0.7" top="0.75" bottom="0.75" header="0.3" footer="0.3"/>
  <pageSetup paperSize="9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66FF66"/>
    <pageSetUpPr fitToPage="1"/>
  </sheetPr>
  <dimension ref="T3:W22"/>
  <sheetViews>
    <sheetView tabSelected="1" zoomScaleNormal="100" workbookViewId="0">
      <selection activeCell="Q46" sqref="Q46"/>
    </sheetView>
  </sheetViews>
  <sheetFormatPr defaultRowHeight="14.4" x14ac:dyDescent="0.3"/>
  <sheetData>
    <row r="3" spans="20:23" x14ac:dyDescent="0.3">
      <c r="T3" s="24"/>
      <c r="U3" s="24"/>
      <c r="V3" s="24"/>
      <c r="W3" s="24"/>
    </row>
    <row r="4" spans="20:23" x14ac:dyDescent="0.3">
      <c r="T4" s="24"/>
      <c r="U4" s="24"/>
      <c r="V4" s="24"/>
      <c r="W4" s="24"/>
    </row>
    <row r="5" spans="20:23" x14ac:dyDescent="0.3">
      <c r="T5" s="24"/>
      <c r="U5" s="24"/>
      <c r="V5" s="24"/>
      <c r="W5" s="24"/>
    </row>
    <row r="6" spans="20:23" x14ac:dyDescent="0.3">
      <c r="T6" s="24"/>
      <c r="U6" s="24"/>
      <c r="V6" s="24"/>
      <c r="W6" s="24"/>
    </row>
    <row r="7" spans="20:23" x14ac:dyDescent="0.3">
      <c r="T7" s="24"/>
      <c r="U7" s="24"/>
      <c r="V7" s="24"/>
      <c r="W7" s="24"/>
    </row>
    <row r="8" spans="20:23" x14ac:dyDescent="0.3">
      <c r="T8" s="24"/>
      <c r="U8" s="24"/>
      <c r="V8" s="24"/>
      <c r="W8" s="24"/>
    </row>
    <row r="9" spans="20:23" x14ac:dyDescent="0.3">
      <c r="T9" s="24"/>
      <c r="U9" s="24"/>
      <c r="V9" s="24"/>
      <c r="W9" s="24"/>
    </row>
    <row r="10" spans="20:23" x14ac:dyDescent="0.3">
      <c r="T10" s="24"/>
      <c r="U10" s="24"/>
      <c r="V10" s="24"/>
      <c r="W10" s="24"/>
    </row>
    <row r="11" spans="20:23" x14ac:dyDescent="0.3">
      <c r="T11" s="24"/>
      <c r="U11" s="24"/>
      <c r="V11" s="24"/>
      <c r="W11" s="24"/>
    </row>
    <row r="12" spans="20:23" x14ac:dyDescent="0.3">
      <c r="T12" s="24"/>
      <c r="U12" s="23"/>
      <c r="V12" s="23" t="str">
        <f>'X bar Chart'!O8</f>
        <v>Main</v>
      </c>
      <c r="W12" s="23"/>
    </row>
    <row r="13" spans="20:23" x14ac:dyDescent="0.3">
      <c r="T13" s="24"/>
      <c r="U13" s="23"/>
      <c r="V13" s="23"/>
      <c r="W13" s="23"/>
    </row>
    <row r="14" spans="20:23" x14ac:dyDescent="0.3">
      <c r="T14" s="24"/>
      <c r="U14" s="23"/>
      <c r="V14" s="23"/>
      <c r="W14" s="23"/>
    </row>
    <row r="15" spans="20:23" x14ac:dyDescent="0.3">
      <c r="T15" s="24"/>
      <c r="U15" s="23"/>
      <c r="V15" s="23"/>
      <c r="W15" s="23"/>
    </row>
    <row r="16" spans="20:23" x14ac:dyDescent="0.3">
      <c r="T16" s="24"/>
      <c r="U16" s="23"/>
      <c r="V16" s="23" t="str">
        <f ca="1">CONCATENATE(V12," ", INDIRECT("'" &amp; V12 &amp; "'!C3")," X bar Chart")</f>
        <v>Main tds X bar Chart</v>
      </c>
      <c r="W16" s="23"/>
    </row>
    <row r="17" spans="20:23" x14ac:dyDescent="0.3">
      <c r="T17" s="24"/>
      <c r="U17" s="23"/>
      <c r="V17" s="23"/>
      <c r="W17" s="23"/>
    </row>
    <row r="18" spans="20:23" x14ac:dyDescent="0.3">
      <c r="T18" s="24"/>
      <c r="U18" s="24"/>
      <c r="V18" s="24"/>
      <c r="W18" s="24"/>
    </row>
    <row r="19" spans="20:23" x14ac:dyDescent="0.3">
      <c r="T19" s="24"/>
      <c r="U19" s="24"/>
      <c r="V19" s="24"/>
      <c r="W19" s="24"/>
    </row>
    <row r="20" spans="20:23" x14ac:dyDescent="0.3">
      <c r="T20" s="24"/>
      <c r="U20" s="24"/>
      <c r="V20" s="24"/>
      <c r="W20" s="24"/>
    </row>
    <row r="21" spans="20:23" x14ac:dyDescent="0.3">
      <c r="T21" s="24"/>
      <c r="U21" s="24"/>
      <c r="V21" s="24"/>
      <c r="W21" s="24"/>
    </row>
    <row r="22" spans="20:23" x14ac:dyDescent="0.3">
      <c r="T22" s="24"/>
      <c r="U22" s="24"/>
      <c r="V22" s="24"/>
      <c r="W22" s="24"/>
    </row>
  </sheetData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Main</vt:lpstr>
      <vt:lpstr>Sample</vt:lpstr>
      <vt:lpstr>X bar Chart</vt:lpstr>
      <vt:lpstr>X bar Graph</vt:lpstr>
      <vt:lpstr>'X bar Chart'!Print_Area</vt:lpstr>
      <vt:lpstr>'X bar Graph'!Print_Area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LJdata Data LJdata Data COD HR Data COD HR x1-x2 Data</dc:title>
  <dc:creator/>
  <dc:description>Charts created with QI Macros for Excel_x000d_
www.qimacros.com_x000d_
Charts created with QI Macros for Excel_x000d_
www.qimacros.com_x000d_
Charts created with QI Macros for Excel_x000d_
www.qimacros.com_x000d_
Charts created with QI Macros for Excel_x000d_
www.qimacros.com</dc:description>
  <cp:lastModifiedBy/>
  <dcterms:created xsi:type="dcterms:W3CDTF">2006-09-16T00:00:00Z</dcterms:created>
  <dcterms:modified xsi:type="dcterms:W3CDTF">2026-01-12T15:36:22Z</dcterms:modified>
</cp:coreProperties>
</file>