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192" tabRatio="599" firstSheet="0" activeTab="0" autoFilterDateGrouping="1"/>
  </bookViews>
  <sheets>
    <sheet name="Main" sheetId="1" state="visible" r:id="rId1"/>
    <sheet name="COD" sheetId="2" state="visible" r:id="rId2"/>
    <sheet name="Sulfide" sheetId="3" state="visible" r:id="rId3"/>
    <sheet name="DO" sheetId="4" state="visible" r:id="rId4"/>
    <sheet name="WC%" sheetId="5" state="visible" r:id="rId5"/>
    <sheet name="Efficiency" sheetId="6" state="visible" r:id="rId6"/>
    <sheet name="BOD5" sheetId="7" state="visible" r:id="rId7"/>
    <sheet name="turbidity" sheetId="8" state="visible" r:id="rId8"/>
    <sheet name="BreakPoint" sheetId="9" state="visible" r:id="rId9"/>
    <sheet name="Break point report" sheetId="10" state="visible" r:id="rId10"/>
    <sheet name="TS &amp; VS" sheetId="11" state="visible" r:id="rId11"/>
    <sheet name="TSS" sheetId="12" state="visible" r:id="rId12"/>
    <sheet name="TDS" sheetId="13" state="visible" r:id="rId13"/>
    <sheet name="O&amp;G" sheetId="14" state="visible" r:id="rId14"/>
    <sheet name="Seed" sheetId="15" state="visible" r:id="rId15"/>
    <sheet name="Dispenser" sheetId="16" state="visible" r:id="rId16"/>
    <sheet name="Sheet1" sheetId="17" state="visible" r:id="rId17"/>
    <sheet name="Observation" sheetId="18" state="visible" r:id="rId18"/>
    <sheet name="State Point" sheetId="19" state="visible" r:id="rId19"/>
  </sheets>
  <definedNames>
    <definedName name="COD">[0]!COD</definedName>
    <definedName name="Z_56D1C9FE_B28D_4595_976A_8D3F1129AFF4_.wvu.Cols" localSheetId="0" hidden="1">Main!#REF!</definedName>
    <definedName name="Z_56D1C9FE_B28D_4595_976A_8D3F1129AFF4_.wvu.PrintArea" localSheetId="0" hidden="1">Main!$A$2:$N$49</definedName>
    <definedName name="_xlnm.Print_Area" localSheetId="0">'Main'!$A$1:$N$48</definedName>
    <definedName name="_xlnm.Print_Area" localSheetId="1">'COD'!$A$1:$P$17</definedName>
    <definedName name="COD" localSheetId="2">#N/A</definedName>
    <definedName name="_xlnm.Print_Area" localSheetId="2">'Sulfide'!$A$1:$H$14</definedName>
    <definedName name="COD" localSheetId="3">Main!$J$14</definedName>
    <definedName name="COD" localSheetId="4">Main!$J$14</definedName>
    <definedName name="_xlnm.Print_Area" localSheetId="4">'WC%'!$A$1:$F$10</definedName>
    <definedName name="_xlnm.Print_Area" localSheetId="5">'Efficiency'!$A$1:$P$32</definedName>
    <definedName name="_xlnm.Print_Area" localSheetId="6">'BOD5'!$A$1:$P$24</definedName>
    <definedName name="COD" localSheetId="7">#N/A</definedName>
    <definedName name="Z_56D1C9FE_B28D_4595_976A_8D3F1129AFF4_.wvu.Cols" localSheetId="7" hidden="1">turbidity!$L:$L</definedName>
    <definedName name="Z_56D1C9FE_B28D_4595_976A_8D3F1129AFF4_.wvu.PrintArea" localSheetId="7" hidden="1">turbidity!$A$2:$O$40</definedName>
    <definedName name="_xlnm.Print_Area" localSheetId="7">'turbidity'!$A$2:$N$39</definedName>
    <definedName name="COD" localSheetId="9">#N/A</definedName>
    <definedName name="Z_56D1C9FE_B28D_4595_976A_8D3F1129AFF4_.wvu.Cols" localSheetId="9" hidden="1">'Break point report'!$L:$L</definedName>
    <definedName name="Z_56D1C9FE_B28D_4595_976A_8D3F1129AFF4_.wvu.PrintArea" localSheetId="9" hidden="1">'Break point report'!$A$2:$O$53</definedName>
    <definedName name="_xlnm.Print_Area" localSheetId="9">'Break point report'!$A$2:$N$52</definedName>
    <definedName name="_xlnm.Print_Area" localSheetId="10">'TS &amp; VS'!$A$1:$H$16</definedName>
    <definedName name="_xlnm.Print_Area" localSheetId="11">'TSS'!$A$1:$H$21</definedName>
    <definedName name="_xlnm.Print_Area" localSheetId="12">'TDS'!$A$1:$H$20</definedName>
    <definedName name="_xlnm.Print_Area" localSheetId="13">'O&amp;G'!$A$1:$J$19</definedName>
    <definedName name="_xlnm.Print_Area" localSheetId="14">'Seed'!$A$1:$P$25</definedName>
    <definedName name="_xlnm.Print_Area" localSheetId="15">'Dispenser'!$A$10:$K$34</definedName>
    <definedName name="_xlnm.Print_Area" localSheetId="18">'State Point'!$A$1:$X$39</definedName>
  </definedNames>
  <calcPr calcId="162913" fullCalcOnLoad="1"/>
</workbook>
</file>

<file path=xl/styles.xml><?xml version="1.0" encoding="utf-8"?>
<styleSheet xmlns="http://schemas.openxmlformats.org/spreadsheetml/2006/main">
  <numFmts count="12">
    <numFmt numFmtId="164" formatCode="dd\/mm\/yyyy"/>
    <numFmt numFmtId="165" formatCode="0.00\ \°\C"/>
    <numFmt numFmtId="166" formatCode="0.0"/>
    <numFmt numFmtId="167" formatCode="0.000"/>
    <numFmt numFmtId="168" formatCode="0.0%"/>
    <numFmt numFmtId="169" formatCode="0.0000"/>
    <numFmt numFmtId="170" formatCode="[$-F400]h:mm:ss\ AM/PM"/>
    <numFmt numFmtId="171" formatCode="0.0\ \°\C"/>
    <numFmt numFmtId="172" formatCode="[$-1000000]h:mm:ss;@"/>
    <numFmt numFmtId="173" formatCode="0.00\ \X\ \10\³"/>
    <numFmt numFmtId="174" formatCode="\م\ق\ا\س\ \ع\م\و\د\ \ا\ل\ح\م\أ\ة\ \ف\ى\ \ح\و\ض\ \ت\ر\س\ي\ب\ \ر\ق\م\ \ \(\ \2\ \)\ #\ \ \س\م"/>
    <numFmt numFmtId="175" formatCode="\م\ق\ا\س\ \ع\م\و\د\ \ا\ل\ح\م\أ\ة\ \ف\ى\ \ح\و\ض\ \ت\ر\س\ي\ب\ \ر\ق\م\ \ \(\ \1\ \)\ #\ \ \س\م"/>
  </numFmts>
  <fonts count="68">
    <font>
      <name val="Arial"/>
      <charset val="178"/>
      <sz val="10"/>
    </font>
    <font>
      <name val="Arial"/>
      <family val="2"/>
      <sz val="10"/>
    </font>
    <font>
      <name val="Arial"/>
      <family val="2"/>
      <sz val="12"/>
    </font>
    <font>
      <name val="Arial"/>
      <family val="2"/>
      <sz val="16"/>
    </font>
    <font>
      <name val="Arial"/>
      <family val="2"/>
      <sz val="10"/>
    </font>
    <font>
      <name val="Arial"/>
      <family val="2"/>
      <sz val="14"/>
    </font>
    <font>
      <name val="Arial"/>
      <family val="2"/>
      <color indexed="63"/>
      <sz val="12"/>
    </font>
    <font>
      <name val="Arial"/>
      <family val="2"/>
      <sz val="11"/>
    </font>
    <font>
      <name val="Arial"/>
      <family val="2"/>
      <sz val="18"/>
    </font>
    <font>
      <name val="Arial"/>
      <family val="2"/>
      <b val="1"/>
      <sz val="11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18"/>
    </font>
    <font>
      <name val="Times New Roman"/>
      <family val="1"/>
      <b val="1"/>
      <sz val="14"/>
    </font>
    <font>
      <name val="Arial"/>
      <family val="2"/>
      <b val="1"/>
      <sz val="22"/>
    </font>
    <font>
      <name val="Arial"/>
      <family val="2"/>
      <b val="1"/>
      <sz val="24"/>
    </font>
    <font>
      <name val="Arial"/>
      <family val="2"/>
      <color theme="10"/>
      <sz val="10"/>
      <u val="single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0"/>
      <sz val="22"/>
      <u val="single"/>
    </font>
    <font>
      <name val="Arial"/>
      <family val="2"/>
      <color theme="0"/>
      <sz val="10"/>
      <u val="single"/>
    </font>
    <font>
      <name val="Arial"/>
      <family val="2"/>
      <sz val="10"/>
    </font>
    <font>
      <name val="Arial"/>
      <family val="2"/>
      <b val="1"/>
      <sz val="16"/>
    </font>
    <font>
      <name val="Arial"/>
      <family val="2"/>
      <b val="1"/>
      <i val="1"/>
      <sz val="10"/>
    </font>
    <font>
      <name val="Monotype Corsiva"/>
      <family val="4"/>
      <sz val="14"/>
    </font>
    <font>
      <name val="Bernard MT Condensed"/>
      <family val="1"/>
      <sz val="14"/>
    </font>
    <font>
      <name val="Arial"/>
      <family val="2"/>
      <sz val="22"/>
    </font>
    <font>
      <name val="Arial"/>
      <family val="2"/>
      <b val="1"/>
      <color theme="10"/>
      <sz val="10"/>
      <u val="single"/>
    </font>
    <font>
      <name val="Arial"/>
      <family val="2"/>
      <b val="1"/>
      <sz val="9"/>
    </font>
    <font>
      <name val="Arial"/>
      <family val="2"/>
      <b val="1"/>
      <sz val="22"/>
      <u val="single"/>
    </font>
    <font>
      <name val="Arial"/>
      <family val="2"/>
      <b val="1"/>
      <sz val="28"/>
    </font>
    <font>
      <name val="Arial"/>
      <family val="2"/>
      <b val="1"/>
      <sz val="48"/>
    </font>
    <font>
      <name val="Arial"/>
      <family val="2"/>
      <b val="1"/>
      <sz val="26"/>
    </font>
    <font>
      <name val="Blackadder ITC"/>
      <family val="5"/>
      <b val="1"/>
      <sz val="26"/>
    </font>
    <font>
      <name val="Calibri"/>
      <charset val="178"/>
      <family val="2"/>
      <b val="1"/>
      <color rgb="FFFA7D00"/>
      <sz val="11"/>
      <scheme val="minor"/>
    </font>
    <font>
      <name val="Arial"/>
      <family val="2"/>
      <b val="1"/>
      <color theme="10"/>
      <sz val="18"/>
      <u val="single"/>
    </font>
    <font>
      <name val="Arial"/>
      <family val="2"/>
      <b val="1"/>
      <color theme="2" tint="-0.09997863704336681"/>
      <sz val="14"/>
    </font>
    <font>
      <name val="Arial"/>
      <family val="2"/>
      <b val="1"/>
      <color theme="8" tint="-0.249977111117893"/>
      <sz val="12"/>
    </font>
    <font>
      <name val="Arial"/>
      <family val="2"/>
      <b val="1"/>
      <color theme="5" tint="0.3999755851924192"/>
      <sz val="14"/>
    </font>
    <font>
      <name val="Arial"/>
      <family val="2"/>
      <color theme="10"/>
      <sz val="18"/>
      <u val="single"/>
    </font>
    <font>
      <name val="Arial"/>
      <family val="2"/>
      <color theme="10"/>
      <sz val="26"/>
      <u val="single"/>
    </font>
    <font>
      <name val="Arial"/>
      <family val="2"/>
      <b val="1"/>
      <color theme="1"/>
      <sz val="14"/>
    </font>
    <font>
      <name val="Arial"/>
      <family val="2"/>
      <b val="1"/>
      <color theme="10"/>
      <sz val="24"/>
      <u val="single"/>
    </font>
    <font>
      <name val="Arial"/>
      <family val="2"/>
      <b val="1"/>
      <color theme="1"/>
      <sz val="16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b val="1"/>
      <color theme="0"/>
      <sz val="12"/>
    </font>
    <font>
      <name val="Arial"/>
      <family val="2"/>
      <b val="1"/>
      <color theme="0"/>
      <sz val="10"/>
    </font>
    <font>
      <name val="Arial"/>
      <family val="2"/>
      <i val="1"/>
      <sz val="10"/>
    </font>
    <font>
      <name val="Arial"/>
      <family val="2"/>
      <color rgb="FFFFFF00"/>
      <sz val="10"/>
    </font>
    <font>
      <name val="Arial"/>
      <family val="2"/>
      <b val="1"/>
      <color rgb="FFFFFF00"/>
      <sz val="14"/>
    </font>
    <font>
      <name val="Arial"/>
      <family val="2"/>
      <b val="1"/>
      <color theme="10"/>
      <sz val="14"/>
      <u val="single"/>
    </font>
    <font>
      <name val="Arial"/>
      <family val="2"/>
      <sz val="20"/>
    </font>
    <font>
      <name val="Arial"/>
      <family val="2"/>
      <b val="1"/>
      <color rgb="FFFF0000"/>
      <sz val="14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Monotype Corsiva"/>
      <family val="4"/>
      <color theme="1"/>
      <sz val="14"/>
    </font>
    <font>
      <name val="Blackadder ITC"/>
      <family val="5"/>
      <b val="1"/>
      <sz val="20"/>
    </font>
    <font>
      <name val="Blackadder ITC"/>
      <family val="5"/>
      <b val="1"/>
      <sz val="24"/>
    </font>
    <font>
      <name val="Arial"/>
      <family val="2"/>
      <b val="1"/>
      <color rgb="FFFFFF00"/>
      <sz val="11"/>
    </font>
    <font>
      <name val="Arial"/>
      <family val="2"/>
      <b val="1"/>
      <color theme="0"/>
      <sz val="11"/>
    </font>
    <font>
      <name val="Calibri"/>
      <charset val="178"/>
      <family val="2"/>
      <b val="1"/>
      <sz val="11"/>
      <scheme val="minor"/>
    </font>
    <font>
      <name val="Arial"/>
      <family val="2"/>
      <color theme="10"/>
      <sz val="28"/>
      <u val="single"/>
    </font>
    <font>
      <name val="Arial"/>
      <family val="2"/>
      <color theme="10"/>
      <sz val="36"/>
      <u val="single"/>
    </font>
    <font>
      <name val="Arial"/>
      <family val="2"/>
      <color theme="10"/>
      <sz val="48"/>
      <u val="single"/>
    </font>
    <font>
      <name val="Arial"/>
      <family val="2"/>
      <color theme="10"/>
      <sz val="40"/>
      <u val="single"/>
    </font>
    <font>
      <name val="Arial"/>
      <family val="2"/>
      <b val="1"/>
      <sz val="20"/>
    </font>
  </fonts>
  <fills count="4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lightUp">
        <bgColor indexed="47"/>
      </patternFill>
    </fill>
    <fill>
      <patternFill patternType="solid">
        <fgColor rgb="FFFFFF00"/>
        <bgColor indexed="64"/>
      </patternFill>
    </fill>
    <fill>
      <patternFill patternType="gray0625">
        <fgColor theme="0" tint="-0.3499862666707358"/>
        <bgColor theme="0"/>
      </patternFill>
    </fill>
    <fill>
      <patternFill patternType="mediumGray">
        <fgColor theme="1" tint="0.3499862666707358"/>
        <bgColor theme="0" tint="-0.1499984740745262"/>
      </patternFill>
    </fill>
    <fill>
      <patternFill patternType="mediumGray">
        <fgColor theme="1" tint="0.3499862666707358"/>
        <bgColor indexed="9"/>
      </patternFill>
    </fill>
    <fill>
      <patternFill patternType="gray0625"/>
    </fill>
    <fill>
      <patternFill patternType="solid">
        <fgColor theme="4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lightGray"/>
    </fill>
    <fill>
      <patternFill patternType="mediumGray"/>
    </fill>
    <fill>
      <patternFill patternType="solid">
        <fgColor indexed="26"/>
        <bgColor indexed="64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"/>
      </patternFill>
    </fill>
    <fill>
      <patternFill patternType="solid">
        <fgColor theme="0"/>
        <bgColor theme="4" tint="0.799981688894314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0070C0"/>
        <bgColor indexed="64"/>
      </patternFill>
    </fill>
    <fill>
      <patternFill patternType="darkUp"/>
    </fill>
    <fill>
      <patternFill patternType="solid">
        <fgColor theme="0" tint="-0.249946592608417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</fills>
  <borders count="10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7" fillId="0" borderId="0" applyAlignment="1" applyProtection="1">
      <alignment vertical="top"/>
      <protection locked="0" hidden="0"/>
    </xf>
    <xf numFmtId="9" fontId="22" fillId="0" borderId="0"/>
    <xf numFmtId="0" fontId="35" fillId="28" borderId="59"/>
  </cellStyleXfs>
  <cellXfs count="825">
    <xf numFmtId="0" fontId="0" fillId="0" borderId="0" pivotButton="0" quotePrefix="0" xfId="0"/>
    <xf numFmtId="0" fontId="5" fillId="0" borderId="0" applyProtection="1" pivotButton="0" quotePrefix="0" xfId="0">
      <protection locked="0" hidden="1"/>
    </xf>
    <xf numFmtId="0" fontId="4" fillId="0" borderId="0" applyProtection="1" pivotButton="0" quotePrefix="0" xfId="0">
      <protection locked="0" hidden="1"/>
    </xf>
    <xf numFmtId="0" fontId="2" fillId="0" borderId="1" applyProtection="1" pivotButton="0" quotePrefix="0" xfId="0">
      <protection locked="0" hidden="1"/>
    </xf>
    <xf numFmtId="0" fontId="4" fillId="0" borderId="0" applyAlignment="1" applyProtection="1" pivotButton="0" quotePrefix="0" xfId="0">
      <alignment horizontal="center"/>
      <protection locked="0" hidden="1"/>
    </xf>
    <xf numFmtId="0" fontId="4" fillId="0" borderId="2" applyAlignment="1" applyProtection="1" pivotButton="0" quotePrefix="0" xfId="0">
      <alignment horizontal="center"/>
      <protection locked="0" hidden="1"/>
    </xf>
    <xf numFmtId="0" fontId="2" fillId="0" borderId="2" applyProtection="1" pivotButton="0" quotePrefix="0" xfId="0">
      <protection locked="0" hidden="1"/>
    </xf>
    <xf numFmtId="0" fontId="3" fillId="0" borderId="2" applyAlignment="1" applyProtection="1" pivotButton="0" quotePrefix="0" xfId="0">
      <alignment horizontal="center"/>
      <protection locked="0" hidden="1"/>
    </xf>
    <xf numFmtId="0" fontId="3" fillId="0" borderId="0" applyAlignment="1" applyProtection="1" pivotButton="0" quotePrefix="0" xfId="0">
      <alignment horizontal="center"/>
      <protection locked="0" hidden="1"/>
    </xf>
    <xf numFmtId="0" fontId="2" fillId="0" borderId="0" applyProtection="1" pivotButton="0" quotePrefix="0" xfId="0">
      <protection locked="0" hidden="1"/>
    </xf>
    <xf numFmtId="0" fontId="3" fillId="0" borderId="0" applyProtection="1" pivotButton="0" quotePrefix="0" xfId="0">
      <protection locked="0" hidden="1"/>
    </xf>
    <xf numFmtId="0" fontId="2" fillId="0" borderId="0" applyAlignment="1" applyProtection="1" pivotButton="0" quotePrefix="0" xfId="0">
      <alignment horizontal="left"/>
      <protection locked="0" hidden="1"/>
    </xf>
    <xf numFmtId="0" fontId="12" fillId="0" borderId="0" applyProtection="1" pivotButton="0" quotePrefix="0" xfId="0">
      <protection locked="0" hidden="1"/>
    </xf>
    <xf numFmtId="14" fontId="4" fillId="0" borderId="0" applyProtection="1" pivotButton="0" quotePrefix="0" xfId="0">
      <protection locked="0" hidden="1"/>
    </xf>
    <xf numFmtId="0" fontId="1" fillId="0" borderId="0" applyAlignment="1" applyProtection="1" pivotButton="0" quotePrefix="0" xfId="0">
      <alignment horizontal="left"/>
      <protection locked="0" hidden="1"/>
    </xf>
    <xf numFmtId="0" fontId="4" fillId="0" borderId="0" applyAlignment="1" applyProtection="1" pivotButton="0" quotePrefix="0" xfId="0">
      <alignment horizontal="left"/>
      <protection locked="0" hidden="1"/>
    </xf>
    <xf numFmtId="14" fontId="12" fillId="0" borderId="0" applyAlignment="1" applyProtection="1" pivotButton="0" quotePrefix="0" xfId="0">
      <alignment horizontal="center"/>
      <protection locked="0" hidden="1"/>
    </xf>
    <xf numFmtId="14" fontId="4" fillId="0" borderId="0" applyAlignment="1" applyProtection="1" pivotButton="0" quotePrefix="0" xfId="0">
      <alignment horizontal="center"/>
      <protection locked="0" hidden="1"/>
    </xf>
    <xf numFmtId="14" fontId="1" fillId="0" borderId="0" applyAlignment="1" applyProtection="1" pivotButton="0" quotePrefix="0" xfId="0">
      <alignment horizontal="center" vertical="center"/>
      <protection locked="0" hidden="1"/>
    </xf>
    <xf numFmtId="0" fontId="1" fillId="0" borderId="0" applyProtection="1" pivotButton="0" quotePrefix="0" xfId="0">
      <protection locked="0" hidden="1"/>
    </xf>
    <xf numFmtId="0" fontId="6" fillId="4" borderId="3" applyAlignment="1" applyProtection="1" pivotButton="0" quotePrefix="0" xfId="0">
      <alignment horizontal="center"/>
      <protection locked="0" hidden="1"/>
    </xf>
    <xf numFmtId="0" fontId="2" fillId="0" borderId="4" applyAlignment="1" applyProtection="1" pivotButton="0" quotePrefix="0" xfId="0">
      <alignment horizontal="center" vertical="center"/>
      <protection locked="0" hidden="1"/>
    </xf>
    <xf numFmtId="0" fontId="4" fillId="0" borderId="5" applyAlignment="1" applyProtection="1" pivotButton="0" quotePrefix="0" xfId="0">
      <alignment horizontal="center" vertical="center"/>
      <protection locked="0" hidden="1"/>
    </xf>
    <xf numFmtId="0" fontId="17" fillId="0" borderId="5" applyAlignment="1" applyProtection="1" pivotButton="0" quotePrefix="0" xfId="1">
      <alignment horizontal="center" vertical="center"/>
      <protection locked="1" hidden="1"/>
    </xf>
    <xf numFmtId="0" fontId="17" fillId="0" borderId="5" applyAlignment="1" applyProtection="1" pivotButton="0" quotePrefix="0" xfId="1">
      <alignment horizontal="center" vertical="justify"/>
      <protection locked="1" hidden="1"/>
    </xf>
    <xf numFmtId="0" fontId="7" fillId="0" borderId="5" applyAlignment="1" applyProtection="1" pivotButton="0" quotePrefix="0" xfId="0">
      <alignment horizontal="center" vertical="center"/>
      <protection locked="0" hidden="1"/>
    </xf>
    <xf numFmtId="0" fontId="4" fillId="0" borderId="0" applyAlignment="1" applyProtection="1" pivotButton="0" quotePrefix="0" xfId="0">
      <alignment vertical="center"/>
      <protection locked="0" hidden="1"/>
    </xf>
    <xf numFmtId="0" fontId="2" fillId="4" borderId="5" applyAlignment="1" applyProtection="1" pivotButton="0" quotePrefix="0" xfId="0">
      <alignment horizontal="center" vertical="center"/>
      <protection locked="0" hidden="1"/>
    </xf>
    <xf numFmtId="0" fontId="8" fillId="0" borderId="5" applyAlignment="1" applyProtection="1" pivotButton="0" quotePrefix="0" xfId="0">
      <alignment horizontal="center" vertical="center"/>
      <protection locked="0" hidden="1"/>
    </xf>
    <xf numFmtId="0" fontId="2" fillId="0" borderId="7" applyAlignment="1" applyProtection="1" pivotButton="0" quotePrefix="0" xfId="0">
      <alignment horizontal="center" vertical="center"/>
      <protection locked="0" hidden="1"/>
    </xf>
    <xf numFmtId="0" fontId="2" fillId="0" borderId="5" applyAlignment="1" applyProtection="1" pivotButton="0" quotePrefix="0" xfId="0">
      <alignment horizontal="center"/>
      <protection locked="0" hidden="1"/>
    </xf>
    <xf numFmtId="0" fontId="2" fillId="4" borderId="8" applyAlignment="1" applyProtection="1" pivotButton="0" quotePrefix="0" xfId="0">
      <alignment horizontal="right" vertical="center"/>
      <protection locked="0" hidden="1"/>
    </xf>
    <xf numFmtId="2" fontId="12" fillId="2" borderId="5" applyAlignment="1" applyProtection="1" pivotButton="0" quotePrefix="0" xfId="0">
      <alignment horizontal="center" vertical="center"/>
      <protection locked="0" hidden="1"/>
    </xf>
    <xf numFmtId="1" fontId="35" fillId="28" borderId="59" applyAlignment="1" applyProtection="1" pivotButton="0" quotePrefix="0" xfId="3">
      <alignment horizontal="center" vertical="center"/>
      <protection locked="1" hidden="1"/>
    </xf>
    <xf numFmtId="0" fontId="12" fillId="19" borderId="5" applyAlignment="1" applyProtection="1" pivotButton="0" quotePrefix="0" xfId="0">
      <alignment horizontal="center" vertical="center"/>
      <protection locked="0" hidden="1"/>
    </xf>
    <xf numFmtId="0" fontId="18" fillId="19" borderId="5" applyAlignment="1" applyProtection="1" pivotButton="0" quotePrefix="0" xfId="0">
      <alignment horizontal="center" vertical="center"/>
      <protection locked="0" hidden="1"/>
    </xf>
    <xf numFmtId="2" fontId="35" fillId="28" borderId="59" applyAlignment="1" applyProtection="1" pivotButton="0" quotePrefix="0" xfId="3">
      <alignment horizontal="center" vertical="center"/>
      <protection locked="1" hidden="1"/>
    </xf>
    <xf numFmtId="9" fontId="12" fillId="0" borderId="5" applyAlignment="1" applyProtection="1" pivotButton="0" quotePrefix="0" xfId="2">
      <alignment horizontal="center" vertical="center"/>
      <protection locked="1" hidden="1"/>
    </xf>
    <xf numFmtId="0" fontId="12" fillId="26" borderId="5" applyAlignment="1" applyProtection="1" pivotButton="0" quotePrefix="0" xfId="0">
      <alignment vertical="center"/>
      <protection locked="0" hidden="1"/>
    </xf>
    <xf numFmtId="9" fontId="1" fillId="0" borderId="0" applyProtection="1" pivotButton="0" quotePrefix="0" xfId="2">
      <protection locked="0" hidden="1"/>
    </xf>
    <xf numFmtId="0" fontId="2" fillId="4" borderId="5" applyAlignment="1" applyProtection="1" pivotButton="0" quotePrefix="0" xfId="0">
      <alignment horizontal="center"/>
      <protection locked="0" hidden="1"/>
    </xf>
    <xf numFmtId="0" fontId="17" fillId="0" borderId="5" applyAlignment="1" applyProtection="1" pivotButton="0" quotePrefix="0" xfId="1">
      <alignment horizontal="center"/>
      <protection locked="1" hidden="1"/>
    </xf>
    <xf numFmtId="0" fontId="11" fillId="17" borderId="5" applyAlignment="1" applyProtection="1" pivotButton="0" quotePrefix="0" xfId="0">
      <alignment horizontal="center"/>
      <protection locked="0" hidden="1"/>
    </xf>
    <xf numFmtId="0" fontId="4" fillId="18" borderId="5" applyAlignment="1" applyProtection="1" pivotButton="0" quotePrefix="0" xfId="0">
      <alignment horizontal="center"/>
      <protection locked="0" hidden="1"/>
    </xf>
    <xf numFmtId="0" fontId="17" fillId="0" borderId="0" applyProtection="1" pivotButton="0" quotePrefix="0" xfId="1">
      <protection locked="0" hidden="1"/>
    </xf>
    <xf numFmtId="0" fontId="4" fillId="0" borderId="1" applyProtection="1" pivotButton="0" quotePrefix="0" xfId="0">
      <protection locked="0" hidden="1"/>
    </xf>
    <xf numFmtId="0" fontId="28" fillId="0" borderId="1" applyAlignment="1" applyProtection="1" pivotButton="0" quotePrefix="0" xfId="1">
      <alignment horizontal="center" vertical="center"/>
      <protection locked="0" hidden="1"/>
    </xf>
    <xf numFmtId="0" fontId="12" fillId="0" borderId="5" applyAlignment="1" applyProtection="1" pivotButton="0" quotePrefix="0" xfId="0">
      <alignment horizontal="center" vertical="center"/>
      <protection locked="1" hidden="1"/>
    </xf>
    <xf numFmtId="16" fontId="4" fillId="0" borderId="0" applyProtection="1" pivotButton="0" quotePrefix="0" xfId="0">
      <protection locked="0" hidden="1"/>
    </xf>
    <xf numFmtId="0" fontId="9" fillId="0" borderId="0" applyProtection="1" pivotButton="0" quotePrefix="0" xfId="0">
      <protection locked="0" hidden="1"/>
    </xf>
    <xf numFmtId="0" fontId="4" fillId="0" borderId="17" applyProtection="1" pivotButton="0" quotePrefix="0" xfId="0">
      <protection locked="0" hidden="1"/>
    </xf>
    <xf numFmtId="0" fontId="14" fillId="0" borderId="0" applyAlignment="1" applyProtection="1" pivotButton="0" quotePrefix="0" xfId="0">
      <alignment horizontal="center" wrapText="1" readingOrder="1"/>
      <protection locked="0" hidden="1"/>
    </xf>
    <xf numFmtId="14" fontId="21" fillId="0" borderId="0" applyProtection="1" pivotButton="0" quotePrefix="0" xfId="1">
      <protection locked="1" hidden="1"/>
    </xf>
    <xf numFmtId="0" fontId="15" fillId="0" borderId="0" applyProtection="1" pivotButton="0" quotePrefix="0" xfId="0">
      <protection locked="1" hidden="1"/>
    </xf>
    <xf numFmtId="0" fontId="10" fillId="0" borderId="0" applyProtection="1" pivotButton="0" quotePrefix="0" xfId="0">
      <protection locked="1" hidden="1"/>
    </xf>
    <xf numFmtId="0" fontId="30" fillId="0" borderId="0" applyAlignment="1" applyProtection="1" pivotButton="0" quotePrefix="0" xfId="0">
      <alignment vertical="center"/>
      <protection locked="1" hidden="1"/>
    </xf>
    <xf numFmtId="0" fontId="31" fillId="0" borderId="22" applyAlignment="1" applyProtection="1" pivotButton="0" quotePrefix="0" xfId="0">
      <alignment horizontal="centerContinuous" vertical="center"/>
      <protection locked="1" hidden="1"/>
    </xf>
    <xf numFmtId="0" fontId="31" fillId="0" borderId="23" applyAlignment="1" applyProtection="1" pivotButton="0" quotePrefix="0" xfId="0">
      <alignment horizontal="centerContinuous" vertical="center"/>
      <protection locked="1" hidden="1"/>
    </xf>
    <xf numFmtId="0" fontId="31" fillId="0" borderId="24" applyAlignment="1" applyProtection="1" pivotButton="0" quotePrefix="0" xfId="0">
      <alignment horizontal="centerContinuous" vertical="center"/>
      <protection locked="1" hidden="1"/>
    </xf>
    <xf numFmtId="0" fontId="31" fillId="0" borderId="0" applyAlignment="1" applyProtection="1" pivotButton="0" quotePrefix="0" xfId="0">
      <alignment vertical="center"/>
      <protection locked="1" hidden="1"/>
    </xf>
    <xf numFmtId="0" fontId="10" fillId="0" borderId="0" applyAlignment="1" applyProtection="1" pivotButton="0" quotePrefix="0" xfId="0">
      <alignment vertical="center"/>
      <protection locked="1" hidden="1"/>
    </xf>
    <xf numFmtId="0" fontId="16" fillId="0" borderId="54" applyAlignment="1" applyProtection="1" pivotButton="0" quotePrefix="0" xfId="0">
      <alignment horizontal="left" vertical="center"/>
      <protection locked="1" hidden="1"/>
    </xf>
    <xf numFmtId="0" fontId="16" fillId="0" borderId="17" applyAlignment="1" applyProtection="1" pivotButton="0" quotePrefix="0" xfId="0">
      <alignment horizontal="left" vertical="center"/>
      <protection locked="1" hidden="1"/>
    </xf>
    <xf numFmtId="0" fontId="16" fillId="0" borderId="55" applyAlignment="1" applyProtection="1" pivotButton="0" quotePrefix="0" xfId="0">
      <alignment horizontal="left"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23" fillId="27" borderId="7" applyAlignment="1" applyProtection="1" pivotButton="0" quotePrefix="0" xfId="0">
      <alignment horizontal="center" vertical="center"/>
      <protection locked="0" hidden="1"/>
    </xf>
    <xf numFmtId="0" fontId="23" fillId="27" borderId="7" applyAlignment="1" applyProtection="1" pivotButton="0" quotePrefix="0" xfId="0">
      <alignment horizontal="center" vertical="center"/>
      <protection locked="1" hidden="1"/>
    </xf>
    <xf numFmtId="0" fontId="0" fillId="12" borderId="0" applyAlignment="1" applyProtection="1" pivotButton="0" quotePrefix="0" xfId="0">
      <alignment vertical="center"/>
      <protection locked="1" hidden="1"/>
    </xf>
    <xf numFmtId="0" fontId="1" fillId="0" borderId="0" applyProtection="1" pivotButton="0" quotePrefix="0" xfId="0">
      <protection locked="1" hidden="1"/>
    </xf>
    <xf numFmtId="0" fontId="10" fillId="0" borderId="5" applyAlignment="1" applyProtection="1" pivotButton="0" quotePrefix="0" xfId="0">
      <alignment horizontal="center" vertical="center"/>
      <protection locked="1" hidden="1"/>
    </xf>
    <xf numFmtId="0" fontId="36" fillId="0" borderId="0" applyAlignment="1" applyProtection="1" pivotButton="0" quotePrefix="0" xfId="1">
      <alignment horizontal="center" vertical="center"/>
      <protection locked="1" hidden="1"/>
    </xf>
    <xf numFmtId="0" fontId="1" fillId="5" borderId="0" applyAlignment="1" applyProtection="1" pivotButton="0" quotePrefix="0" xfId="0">
      <alignment horizontal="center" vertical="center"/>
      <protection locked="0" hidden="1"/>
    </xf>
    <xf numFmtId="0" fontId="4" fillId="0" borderId="0" applyAlignment="1" applyProtection="1" pivotButton="0" quotePrefix="0" xfId="0">
      <alignment horizontal="center" vertical="center"/>
      <protection locked="0" hidden="1"/>
    </xf>
    <xf numFmtId="0" fontId="1" fillId="5" borderId="0" applyProtection="1" pivotButton="0" quotePrefix="0" xfId="0">
      <protection locked="0" hidden="1"/>
    </xf>
    <xf numFmtId="0" fontId="1" fillId="0" borderId="0" applyAlignment="1" applyProtection="1" pivotButton="0" quotePrefix="0" xfId="0">
      <alignment horizontal="center" vertical="center"/>
      <protection locked="0" hidden="1"/>
    </xf>
    <xf numFmtId="0" fontId="1" fillId="7" borderId="0" applyAlignment="1" applyProtection="1" pivotButton="0" quotePrefix="0" xfId="0">
      <alignment horizontal="center" vertical="center"/>
      <protection locked="0" hidden="1"/>
    </xf>
    <xf numFmtId="0" fontId="0" fillId="7" borderId="0" applyAlignment="1" applyProtection="1" pivotButton="0" quotePrefix="0" xfId="0">
      <alignment horizontal="center" vertical="center"/>
      <protection locked="0" hidden="1"/>
    </xf>
    <xf numFmtId="1" fontId="11" fillId="0" borderId="0" applyAlignment="1" applyProtection="1" pivotButton="0" quotePrefix="0" xfId="0">
      <alignment horizontal="center" vertical="center"/>
      <protection locked="1" hidden="1"/>
    </xf>
    <xf numFmtId="9" fontId="1" fillId="5" borderId="0" applyAlignment="1" applyProtection="1" pivotButton="0" quotePrefix="0" xfId="2">
      <alignment horizontal="center" vertical="center"/>
      <protection locked="1" hidden="1"/>
    </xf>
    <xf numFmtId="0" fontId="1" fillId="10" borderId="0" applyProtection="1" pivotButton="0" quotePrefix="0" xfId="0">
      <protection locked="0" hidden="1"/>
    </xf>
    <xf numFmtId="0" fontId="0" fillId="11" borderId="0" applyAlignment="1" applyProtection="1" pivotButton="0" quotePrefix="0" xfId="0">
      <alignment horizontal="center" vertical="center"/>
      <protection locked="0" hidden="1"/>
    </xf>
    <xf numFmtId="9" fontId="0" fillId="0" borderId="0" applyProtection="1" pivotButton="0" quotePrefix="0" xfId="2">
      <protection locked="1" hidden="1"/>
    </xf>
    <xf numFmtId="0" fontId="0" fillId="9" borderId="5" applyAlignment="1" applyProtection="1" pivotButton="0" quotePrefix="0" xfId="0">
      <alignment horizontal="center" vertical="center"/>
      <protection locked="0" hidden="1"/>
    </xf>
    <xf numFmtId="0" fontId="0" fillId="24" borderId="5" applyAlignment="1" applyProtection="1" pivotButton="0" quotePrefix="0" xfId="0">
      <alignment horizontal="center" vertical="center"/>
      <protection locked="0" hidden="1"/>
    </xf>
    <xf numFmtId="0" fontId="1" fillId="5" borderId="5" applyAlignment="1" applyProtection="1" pivotButton="0" quotePrefix="0" xfId="2">
      <alignment horizontal="center" vertical="center"/>
      <protection locked="1" hidden="1"/>
    </xf>
    <xf numFmtId="0" fontId="1" fillId="5" borderId="5" applyAlignment="1" applyProtection="1" pivotButton="0" quotePrefix="0" xfId="0">
      <alignment horizontal="center"/>
      <protection locked="0" hidden="1"/>
    </xf>
    <xf numFmtId="0" fontId="1" fillId="0" borderId="5" applyAlignment="1" applyProtection="1" pivotButton="0" quotePrefix="0" xfId="0">
      <alignment horizontal="center" vertical="center"/>
      <protection locked="0" hidden="1"/>
    </xf>
    <xf numFmtId="0" fontId="12" fillId="3" borderId="0" applyAlignment="1" applyProtection="1" pivotButton="0" quotePrefix="0" xfId="0">
      <alignment horizontal="center" vertical="center"/>
      <protection locked="0" hidden="1"/>
    </xf>
    <xf numFmtId="0" fontId="0" fillId="0" borderId="5" applyAlignment="1" applyProtection="1" pivotButton="0" quotePrefix="0" xfId="0">
      <alignment horizontal="center" vertical="center"/>
      <protection locked="0" hidden="1"/>
    </xf>
    <xf numFmtId="9" fontId="1" fillId="5" borderId="5" applyAlignment="1" applyProtection="1" pivotButton="0" quotePrefix="0" xfId="2">
      <alignment horizontal="center" vertical="center"/>
      <protection locked="1" hidden="1"/>
    </xf>
    <xf numFmtId="0" fontId="12" fillId="22" borderId="0" applyAlignment="1" applyProtection="1" pivotButton="0" quotePrefix="0" xfId="0">
      <alignment horizontal="center" vertical="center"/>
      <protection locked="0" hidden="1"/>
    </xf>
    <xf numFmtId="0" fontId="12" fillId="0" borderId="0" applyAlignment="1" applyProtection="1" pivotButton="0" quotePrefix="0" xfId="0">
      <alignment horizontal="center" vertical="center"/>
      <protection locked="0" hidden="1"/>
    </xf>
    <xf numFmtId="9" fontId="1" fillId="5" borderId="5" applyAlignment="1" applyProtection="1" pivotButton="0" quotePrefix="0" xfId="2">
      <alignment horizontal="center"/>
      <protection locked="1" hidden="1"/>
    </xf>
    <xf numFmtId="0" fontId="1" fillId="5" borderId="5" applyAlignment="1" applyProtection="1" pivotButton="0" quotePrefix="0" xfId="0">
      <alignment horizontal="center" vertical="center"/>
      <protection locked="0" hidden="1"/>
    </xf>
    <xf numFmtId="0" fontId="12" fillId="22" borderId="5" applyAlignment="1" applyProtection="1" pivotButton="0" quotePrefix="0" xfId="0">
      <alignment horizontal="center" vertical="center"/>
      <protection locked="1" hidden="1"/>
    </xf>
    <xf numFmtId="0" fontId="12" fillId="9" borderId="5" applyAlignment="1" applyProtection="1" pivotButton="0" quotePrefix="0" xfId="0">
      <alignment horizontal="center" vertical="center"/>
      <protection locked="0" hidden="1"/>
    </xf>
    <xf numFmtId="0" fontId="12" fillId="21" borderId="5" applyAlignment="1" applyProtection="1" pivotButton="0" quotePrefix="0" xfId="0">
      <alignment horizontal="center" vertical="center"/>
      <protection locked="0" hidden="1"/>
    </xf>
    <xf numFmtId="0" fontId="0" fillId="0" borderId="5" applyAlignment="1" applyProtection="1" pivotButton="0" quotePrefix="0" xfId="0">
      <alignment horizontal="center" vertical="center"/>
      <protection locked="1" hidden="1"/>
    </xf>
    <xf numFmtId="0" fontId="1" fillId="21" borderId="5" applyAlignment="1" applyProtection="1" pivotButton="0" quotePrefix="0" xfId="0">
      <alignment horizontal="center" vertical="center"/>
      <protection locked="0" hidden="1"/>
    </xf>
    <xf numFmtId="0" fontId="0" fillId="21" borderId="5" applyAlignment="1" applyProtection="1" pivotButton="0" quotePrefix="0" xfId="0">
      <alignment horizontal="center" vertical="center"/>
      <protection locked="0" hidden="1"/>
    </xf>
    <xf numFmtId="9" fontId="1" fillId="5" borderId="0" applyProtection="1" pivotButton="0" quotePrefix="0" xfId="2">
      <protection locked="1" hidden="1"/>
    </xf>
    <xf numFmtId="0" fontId="0" fillId="11" borderId="0" applyProtection="1" pivotButton="0" quotePrefix="0" xfId="0">
      <protection locked="0" hidden="1"/>
    </xf>
    <xf numFmtId="0" fontId="1" fillId="8" borderId="0" applyAlignment="1" applyProtection="1" pivotButton="0" quotePrefix="0" xfId="0">
      <alignment horizontal="center" vertical="center"/>
      <protection locked="0" hidden="1"/>
    </xf>
    <xf numFmtId="9" fontId="0" fillId="8" borderId="0" applyAlignment="1" applyProtection="1" pivotButton="0" quotePrefix="0" xfId="0">
      <alignment horizontal="center" vertical="center"/>
      <protection locked="0" hidden="1"/>
    </xf>
    <xf numFmtId="0" fontId="1" fillId="6" borderId="0" applyProtection="1" pivotButton="0" quotePrefix="0" xfId="0">
      <protection locked="0" hidden="1"/>
    </xf>
    <xf numFmtId="2" fontId="0" fillId="3" borderId="0" applyProtection="1" pivotButton="0" quotePrefix="0" xfId="0">
      <protection locked="1" hidden="1"/>
    </xf>
    <xf numFmtId="9" fontId="0" fillId="0" borderId="0" applyProtection="1" pivotButton="0" quotePrefix="0" xfId="2">
      <protection locked="0" hidden="1"/>
    </xf>
    <xf numFmtId="0" fontId="1" fillId="6" borderId="0" applyAlignment="1" applyProtection="1" pivotButton="0" quotePrefix="0" xfId="0">
      <alignment horizontal="center" vertical="center"/>
      <protection locked="0" hidden="1"/>
    </xf>
    <xf numFmtId="0" fontId="1" fillId="6" borderId="0" applyAlignment="1" applyProtection="1" pivotButton="0" quotePrefix="0" xfId="0">
      <alignment horizontal="center"/>
      <protection locked="0" hidden="1"/>
    </xf>
    <xf numFmtId="0" fontId="3" fillId="0" borderId="0" applyProtection="1" pivotButton="0" quotePrefix="0" xfId="0">
      <protection locked="1" hidden="1"/>
    </xf>
    <xf numFmtId="0" fontId="23" fillId="0" borderId="0" applyProtection="1" pivotButton="0" quotePrefix="0" xfId="0">
      <protection locked="1" hidden="1"/>
    </xf>
    <xf numFmtId="0" fontId="23" fillId="0" borderId="0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14" fontId="0" fillId="0" borderId="11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10" fillId="0" borderId="0" applyProtection="1" pivotButton="0" quotePrefix="0" xfId="0">
      <protection locked="0" hidden="1"/>
    </xf>
    <xf numFmtId="0" fontId="11" fillId="0" borderId="0" applyProtection="1" pivotButton="0" quotePrefix="0" xfId="0">
      <protection locked="0" hidden="1"/>
    </xf>
    <xf numFmtId="0" fontId="11" fillId="0" borderId="12" applyAlignment="1" applyProtection="1" pivotButton="0" quotePrefix="0" xfId="0">
      <alignment vertical="center"/>
      <protection locked="0" hidden="1"/>
    </xf>
    <xf numFmtId="0" fontId="12" fillId="0" borderId="0" applyAlignment="1" applyProtection="1" pivotButton="0" quotePrefix="0" xfId="0">
      <alignment vertical="center"/>
      <protection locked="0" hidden="1"/>
    </xf>
    <xf numFmtId="0" fontId="9" fillId="13" borderId="25" applyAlignment="1" applyProtection="1" pivotButton="0" quotePrefix="0" xfId="0">
      <alignment horizontal="centerContinuous" vertical="center"/>
      <protection locked="0" hidden="1"/>
    </xf>
    <xf numFmtId="0" fontId="0" fillId="13" borderId="9" applyAlignment="1" applyProtection="1" pivotButton="0" quotePrefix="0" xfId="0">
      <alignment horizontal="centerContinuous"/>
      <protection locked="0" hidden="1"/>
    </xf>
    <xf numFmtId="0" fontId="0" fillId="13" borderId="26" applyAlignment="1" applyProtection="1" pivotButton="0" quotePrefix="0" xfId="0">
      <alignment horizontal="centerContinuous"/>
      <protection locked="0" hidden="1"/>
    </xf>
    <xf numFmtId="0" fontId="0" fillId="0" borderId="12" applyProtection="1" pivotButton="0" quotePrefix="0" xfId="0">
      <protection locked="0" hidden="1"/>
    </xf>
    <xf numFmtId="0" fontId="12" fillId="0" borderId="12" applyProtection="1" pivotButton="0" quotePrefix="0" xfId="0">
      <protection locked="0" hidden="1"/>
    </xf>
    <xf numFmtId="0" fontId="0" fillId="0" borderId="13" applyProtection="1" pivotButton="0" quotePrefix="0" xfId="0">
      <protection locked="0" hidden="1"/>
    </xf>
    <xf numFmtId="0" fontId="12" fillId="0" borderId="30" applyProtection="1" pivotButton="0" quotePrefix="0" xfId="0">
      <protection locked="0" hidden="1"/>
    </xf>
    <xf numFmtId="0" fontId="0" fillId="0" borderId="31" applyProtection="1" pivotButton="0" quotePrefix="0" xfId="0">
      <protection locked="0" hidden="1"/>
    </xf>
    <xf numFmtId="0" fontId="27" fillId="11" borderId="5" applyAlignment="1" applyProtection="1" pivotButton="0" quotePrefix="0" xfId="0">
      <alignment horizontal="center" vertical="center"/>
      <protection locked="0" hidden="1"/>
    </xf>
    <xf numFmtId="0" fontId="27" fillId="16" borderId="5" applyAlignment="1" applyProtection="1" pivotButton="0" quotePrefix="0" xfId="0">
      <alignment horizontal="center" vertical="center"/>
      <protection locked="0" hidden="1"/>
    </xf>
    <xf numFmtId="0" fontId="0" fillId="0" borderId="16" applyProtection="1" pivotButton="0" quotePrefix="0" xfId="0">
      <protection locked="0" hidden="1"/>
    </xf>
    <xf numFmtId="0" fontId="0" fillId="0" borderId="30" applyAlignment="1" applyProtection="1" pivotButton="0" quotePrefix="0" xfId="0">
      <alignment vertical="center"/>
      <protection locked="0" hidden="1"/>
    </xf>
    <xf numFmtId="0" fontId="0" fillId="0" borderId="34" applyAlignment="1" applyProtection="1" pivotButton="0" quotePrefix="0" xfId="0">
      <alignment vertical="center"/>
      <protection locked="0" hidden="1"/>
    </xf>
    <xf numFmtId="0" fontId="0" fillId="0" borderId="12" applyAlignment="1" applyProtection="1" pivotButton="0" quotePrefix="0" xfId="0">
      <alignment vertical="center"/>
      <protection locked="0" hidden="1"/>
    </xf>
    <xf numFmtId="0" fontId="0" fillId="0" borderId="0" applyAlignment="1" applyProtection="1" pivotButton="0" quotePrefix="0" xfId="0">
      <alignment vertical="center"/>
      <protection locked="0" hidden="1"/>
    </xf>
    <xf numFmtId="0" fontId="0" fillId="13" borderId="30" applyAlignment="1" applyProtection="1" pivotButton="0" quotePrefix="0" xfId="0">
      <alignment vertical="center"/>
      <protection locked="0" hidden="1"/>
    </xf>
    <xf numFmtId="0" fontId="0" fillId="13" borderId="5" applyAlignment="1" applyProtection="1" pivotButton="0" quotePrefix="0" xfId="0">
      <alignment horizontal="center" vertical="center"/>
      <protection locked="0" hidden="1"/>
    </xf>
    <xf numFmtId="0" fontId="0" fillId="13" borderId="7" applyAlignment="1" applyProtection="1" pivotButton="0" quotePrefix="0" xfId="0">
      <alignment horizontal="center" vertical="center"/>
      <protection locked="0" hidden="1"/>
    </xf>
    <xf numFmtId="0" fontId="0" fillId="13" borderId="35" applyAlignment="1" applyProtection="1" pivotButton="0" quotePrefix="0" xfId="0">
      <alignment horizontal="center" vertical="center"/>
      <protection locked="0" hidden="1"/>
    </xf>
    <xf numFmtId="0" fontId="0" fillId="12" borderId="0" applyAlignment="1" applyProtection="1" pivotButton="0" quotePrefix="0" xfId="0">
      <alignment vertical="center"/>
      <protection locked="0" hidden="1"/>
    </xf>
    <xf numFmtId="0" fontId="0" fillId="2" borderId="30" applyAlignment="1" applyProtection="1" pivotButton="0" quotePrefix="0" xfId="0">
      <alignment vertical="center"/>
      <protection locked="0" hidden="1"/>
    </xf>
    <xf numFmtId="0" fontId="0" fillId="0" borderId="7" applyAlignment="1" applyProtection="1" pivotButton="0" quotePrefix="0" xfId="0">
      <alignment horizontal="center" vertical="center"/>
      <protection locked="0" hidden="1"/>
    </xf>
    <xf numFmtId="0" fontId="0" fillId="0" borderId="35" applyAlignment="1" applyProtection="1" pivotButton="0" quotePrefix="0" xfId="0">
      <alignment horizontal="center" vertical="center"/>
      <protection locked="0" hidden="1"/>
    </xf>
    <xf numFmtId="0" fontId="0" fillId="13" borderId="7" applyAlignment="1" applyProtection="1" pivotButton="0" quotePrefix="0" xfId="0">
      <alignment horizontal="center" vertical="center"/>
      <protection locked="1" hidden="1"/>
    </xf>
    <xf numFmtId="0" fontId="0" fillId="13" borderId="1" applyAlignment="1" applyProtection="1" pivotButton="0" quotePrefix="0" xfId="0">
      <alignment horizontal="center" vertical="center"/>
      <protection locked="0" hidden="1"/>
    </xf>
    <xf numFmtId="0" fontId="0" fillId="0" borderId="12" applyAlignment="1" applyProtection="1" pivotButton="0" quotePrefix="0" xfId="0">
      <alignment horizontal="center" vertical="center"/>
      <protection locked="0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0" fillId="13" borderId="30" applyAlignment="1" applyProtection="1" pivotButton="0" quotePrefix="0" xfId="0">
      <alignment vertical="center" wrapText="1"/>
      <protection locked="0" hidden="1"/>
    </xf>
    <xf numFmtId="2" fontId="0" fillId="13" borderId="7" applyAlignment="1" applyProtection="1" pivotButton="0" quotePrefix="0" xfId="0">
      <alignment horizontal="center" vertical="center"/>
      <protection locked="1" hidden="1"/>
    </xf>
    <xf numFmtId="2" fontId="0" fillId="0" borderId="7" applyAlignment="1" applyProtection="1" pivotButton="0" quotePrefix="0" xfId="0">
      <alignment horizontal="center" vertical="center"/>
      <protection locked="1" hidden="1"/>
    </xf>
    <xf numFmtId="2" fontId="0" fillId="14" borderId="7" applyAlignment="1" applyProtection="1" pivotButton="0" quotePrefix="0" xfId="0">
      <alignment horizontal="center" vertical="center"/>
      <protection locked="1" hidden="1"/>
    </xf>
    <xf numFmtId="0" fontId="0" fillId="13" borderId="12" applyAlignment="1" applyProtection="1" pivotButton="0" quotePrefix="0" xfId="0">
      <alignment vertical="center"/>
      <protection locked="0" hidden="1"/>
    </xf>
    <xf numFmtId="0" fontId="0" fillId="0" borderId="38" applyAlignment="1" applyProtection="1" pivotButton="0" quotePrefix="0" xfId="0">
      <alignment vertical="center"/>
      <protection locked="0" hidden="1"/>
    </xf>
    <xf numFmtId="0" fontId="0" fillId="0" borderId="40" applyAlignment="1" applyProtection="1" pivotButton="0" quotePrefix="0" xfId="0">
      <alignment vertical="center"/>
      <protection locked="0" hidden="1"/>
    </xf>
    <xf numFmtId="0" fontId="0" fillId="13" borderId="45" applyAlignment="1" applyProtection="1" pivotButton="0" quotePrefix="0" xfId="0">
      <alignment vertical="center"/>
      <protection locked="0" hidden="1"/>
    </xf>
    <xf numFmtId="2" fontId="0" fillId="0" borderId="0" applyProtection="1" pivotButton="0" quotePrefix="0" xfId="0">
      <protection locked="0" hidden="1"/>
    </xf>
    <xf numFmtId="0" fontId="12" fillId="14" borderId="5" applyAlignment="1" applyProtection="1" pivotButton="0" quotePrefix="0" xfId="0">
      <alignment horizontal="center" vertical="center"/>
      <protection locked="1" hidden="1"/>
    </xf>
    <xf numFmtId="0" fontId="12" fillId="14" borderId="5" applyAlignment="1" applyProtection="1" pivotButton="0" quotePrefix="0" xfId="0">
      <alignment horizontal="center" vertical="center"/>
      <protection locked="0" hidden="1"/>
    </xf>
    <xf numFmtId="2" fontId="12" fillId="23" borderId="5" applyAlignment="1" applyProtection="1" pivotButton="0" quotePrefix="0" xfId="0">
      <alignment horizontal="center" vertical="center"/>
      <protection locked="1" hidden="1"/>
    </xf>
    <xf numFmtId="0" fontId="0" fillId="23" borderId="5" applyAlignment="1" applyProtection="1" pivotButton="0" quotePrefix="0" xfId="0">
      <alignment horizontal="center" vertical="center"/>
      <protection locked="0" hidden="1"/>
    </xf>
    <xf numFmtId="0" fontId="0" fillId="23" borderId="5" applyAlignment="1" applyProtection="1" pivotButton="0" quotePrefix="0" xfId="0">
      <alignment horizontal="center" vertical="center"/>
      <protection locked="1" hidden="1"/>
    </xf>
    <xf numFmtId="1" fontId="0" fillId="23" borderId="5" applyAlignment="1" applyProtection="1" pivotButton="0" quotePrefix="0" xfId="0">
      <alignment horizontal="center" vertical="center"/>
      <protection locked="1" hidden="1"/>
    </xf>
    <xf numFmtId="17" fontId="0" fillId="0" borderId="0" applyAlignment="1" applyProtection="1" pivotButton="0" quotePrefix="0" xfId="0">
      <alignment horizontal="center" vertical="center"/>
      <protection locked="0" hidden="1"/>
    </xf>
    <xf numFmtId="0" fontId="0" fillId="21" borderId="0" applyAlignment="1" applyProtection="1" pivotButton="0" quotePrefix="0" xfId="0">
      <alignment horizontal="center" vertical="center"/>
      <protection locked="0" hidden="1"/>
    </xf>
    <xf numFmtId="0" fontId="0" fillId="5" borderId="0" applyAlignment="1" applyProtection="1" pivotButton="0" quotePrefix="0" xfId="0">
      <alignment horizontal="center" vertical="center"/>
      <protection locked="1" hidden="1"/>
    </xf>
    <xf numFmtId="0" fontId="1" fillId="3" borderId="5" applyAlignment="1" applyProtection="1" pivotButton="0" quotePrefix="0" xfId="0">
      <alignment horizontal="center" vertical="center"/>
      <protection locked="0" hidden="1"/>
    </xf>
    <xf numFmtId="0" fontId="0" fillId="0" borderId="5" applyProtection="1" pivotButton="0" quotePrefix="0" xfId="0">
      <protection locked="0" hidden="1"/>
    </xf>
    <xf numFmtId="0" fontId="12" fillId="3" borderId="5" applyAlignment="1" applyProtection="1" pivotButton="0" quotePrefix="0" xfId="0">
      <alignment horizontal="center" vertical="center"/>
      <protection locked="0" hidden="1"/>
    </xf>
    <xf numFmtId="0" fontId="24" fillId="0" borderId="0" applyProtection="1" pivotButton="0" quotePrefix="0" xfId="0">
      <protection locked="0" hidden="1"/>
    </xf>
    <xf numFmtId="0" fontId="4" fillId="0" borderId="0" applyProtection="1" pivotButton="0" quotePrefix="0" xfId="0">
      <protection locked="1" hidden="1"/>
    </xf>
    <xf numFmtId="0" fontId="5" fillId="0" borderId="0" applyProtection="1" pivotButton="0" quotePrefix="0" xfId="0">
      <protection locked="1" hidden="1"/>
    </xf>
    <xf numFmtId="0" fontId="2" fillId="0" borderId="1" applyProtection="1" pivotButton="0" quotePrefix="0" xfId="0"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4" fillId="0" borderId="2" applyAlignment="1" applyProtection="1" pivotButton="0" quotePrefix="0" xfId="0">
      <alignment horizontal="center"/>
      <protection locked="1" hidden="1"/>
    </xf>
    <xf numFmtId="0" fontId="2" fillId="0" borderId="2" applyProtection="1" pivotButton="0" quotePrefix="0" xfId="0">
      <protection locked="1" hidden="1"/>
    </xf>
    <xf numFmtId="0" fontId="3" fillId="0" borderId="2" applyAlignment="1" applyProtection="1" pivotButton="0" quotePrefix="0" xfId="0">
      <alignment horizontal="center"/>
      <protection locked="1" hidden="1"/>
    </xf>
    <xf numFmtId="0" fontId="2" fillId="0" borderId="0" applyProtection="1" pivotButton="0" quotePrefix="0" xfId="0">
      <protection locked="1" hidden="1"/>
    </xf>
    <xf numFmtId="0" fontId="2" fillId="0" borderId="0" applyAlignment="1" applyProtection="1" pivotButton="0" quotePrefix="0" xfId="0">
      <alignment horizontal="left"/>
      <protection locked="1" hidden="1"/>
    </xf>
    <xf numFmtId="0" fontId="12" fillId="0" borderId="0" applyProtection="1" pivotButton="0" quotePrefix="0" xfId="0">
      <protection locked="1" hidden="1"/>
    </xf>
    <xf numFmtId="14" fontId="4" fillId="0" borderId="0" applyProtection="1" pivotButton="0" quotePrefix="0" xfId="0">
      <protection locked="1" hidden="1"/>
    </xf>
    <xf numFmtId="0" fontId="1" fillId="0" borderId="0" applyAlignment="1" applyProtection="1" pivotButton="0" quotePrefix="0" xfId="0">
      <alignment horizontal="left"/>
      <protection locked="1" hidden="1"/>
    </xf>
    <xf numFmtId="0" fontId="4" fillId="0" borderId="0" applyAlignment="1" applyProtection="1" pivotButton="0" quotePrefix="0" xfId="0">
      <alignment horizontal="left"/>
      <protection locked="1" hidden="1"/>
    </xf>
    <xf numFmtId="1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vertical="center"/>
      <protection locked="1" hidden="1"/>
    </xf>
    <xf numFmtId="0" fontId="11" fillId="0" borderId="0" applyAlignment="1" applyProtection="1" pivotButton="0" quotePrefix="0" xfId="0">
      <alignment vertical="center"/>
      <protection locked="1" hidden="1"/>
    </xf>
    <xf numFmtId="0" fontId="0" fillId="0" borderId="5" applyProtection="1" pivotButton="0" quotePrefix="0" xfId="0">
      <protection locked="1" hidden="1"/>
    </xf>
    <xf numFmtId="0" fontId="12" fillId="3" borderId="5" applyAlignment="1" applyProtection="1" pivotButton="0" quotePrefix="0" xfId="0">
      <alignment horizontal="center" vertical="center"/>
      <protection locked="1" hidden="1"/>
    </xf>
    <xf numFmtId="0" fontId="0" fillId="14" borderId="5" applyProtection="1" pivotButton="0" quotePrefix="0" xfId="0">
      <protection locked="1" hidden="1"/>
    </xf>
    <xf numFmtId="0" fontId="24" fillId="0" borderId="0" applyAlignment="1" applyProtection="1" pivotButton="0" quotePrefix="0" xfId="0">
      <alignment horizontal="center" vertical="center"/>
      <protection locked="1" hidden="1"/>
    </xf>
    <xf numFmtId="0" fontId="4" fillId="0" borderId="17" applyProtection="1" pivotButton="0" quotePrefix="0" xfId="0">
      <protection locked="1" hidden="1"/>
    </xf>
    <xf numFmtId="14" fontId="21" fillId="0" borderId="0" applyProtection="1" pivotButton="0" quotePrefix="0" xfId="1">
      <protection locked="0" hidden="1"/>
    </xf>
    <xf numFmtId="0" fontId="9" fillId="0" borderId="15" applyProtection="1" pivotButton="0" quotePrefix="0" xfId="0">
      <protection locked="0" hidden="1"/>
    </xf>
    <xf numFmtId="0" fontId="11" fillId="0" borderId="1" applyProtection="1" pivotButton="0" quotePrefix="0" xfId="0">
      <protection locked="0" hidden="1"/>
    </xf>
    <xf numFmtId="0" fontId="5" fillId="0" borderId="15" applyProtection="1" pivotButton="0" quotePrefix="0" xfId="0">
      <protection locked="0" hidden="1"/>
    </xf>
    <xf numFmtId="0" fontId="5" fillId="0" borderId="1" applyProtection="1" pivotButton="0" quotePrefix="0" xfId="0">
      <protection locked="0" hidden="1"/>
    </xf>
    <xf numFmtId="0" fontId="12" fillId="0" borderId="45" applyProtection="1" pivotButton="0" quotePrefix="0" xfId="0">
      <protection locked="0" hidden="1"/>
    </xf>
    <xf numFmtId="0" fontId="12" fillId="0" borderId="25" applyProtection="1" pivotButton="0" quotePrefix="0" xfId="0">
      <protection locked="0" hidden="1"/>
    </xf>
    <xf numFmtId="0" fontId="1" fillId="0" borderId="50" applyAlignment="1" applyProtection="1" pivotButton="0" quotePrefix="0" xfId="0">
      <alignment horizontal="left"/>
      <protection locked="0" hidden="1"/>
    </xf>
    <xf numFmtId="0" fontId="0" fillId="0" borderId="16" applyAlignment="1" applyProtection="1" pivotButton="0" quotePrefix="0" xfId="0">
      <alignment horizontal="left"/>
      <protection locked="0" hidden="1"/>
    </xf>
    <xf numFmtId="0" fontId="12" fillId="0" borderId="38" applyProtection="1" pivotButton="0" quotePrefix="0" xfId="0">
      <protection locked="0" hidden="1"/>
    </xf>
    <xf numFmtId="49" fontId="1" fillId="12" borderId="21" applyAlignment="1" applyProtection="1" pivotButton="0" quotePrefix="0" xfId="0">
      <alignment horizontal="center" vertical="center"/>
      <protection locked="0" hidden="1"/>
    </xf>
    <xf numFmtId="49" fontId="1" fillId="12" borderId="33" applyAlignment="1" applyProtection="1" pivotButton="0" quotePrefix="0" xfId="0">
      <alignment horizontal="center" vertical="center"/>
      <protection locked="0" hidden="1"/>
    </xf>
    <xf numFmtId="49" fontId="1" fillId="12" borderId="28" applyAlignment="1" applyProtection="1" pivotButton="0" quotePrefix="0" xfId="0">
      <alignment horizontal="center" vertical="center"/>
      <protection locked="0" hidden="1"/>
    </xf>
    <xf numFmtId="49" fontId="0" fillId="12" borderId="21" applyAlignment="1" applyProtection="1" pivotButton="0" quotePrefix="0" xfId="0">
      <alignment horizontal="center" vertical="center"/>
      <protection locked="0" hidden="1"/>
    </xf>
    <xf numFmtId="0" fontId="0" fillId="12" borderId="5" applyAlignment="1" applyProtection="1" pivotButton="0" quotePrefix="0" xfId="0">
      <alignment horizontal="center" vertical="center"/>
      <protection locked="0" hidden="1"/>
    </xf>
    <xf numFmtId="0" fontId="0" fillId="0" borderId="48" applyAlignment="1" applyProtection="1" pivotButton="0" quotePrefix="0" xfId="0">
      <alignment horizontal="center" vertical="center"/>
      <protection locked="1" hidden="1"/>
    </xf>
    <xf numFmtId="1" fontId="0" fillId="12" borderId="44" applyAlignment="1" applyProtection="1" pivotButton="0" quotePrefix="0" xfId="0">
      <alignment horizontal="center" vertical="center"/>
      <protection locked="1" hidden="1"/>
    </xf>
    <xf numFmtId="0" fontId="0" fillId="25" borderId="48" applyAlignment="1" applyProtection="1" pivotButton="0" quotePrefix="0" xfId="0">
      <alignment horizontal="center" vertical="center"/>
      <protection locked="0" hidden="1"/>
    </xf>
    <xf numFmtId="9" fontId="0" fillId="0" borderId="48" applyAlignment="1" applyProtection="1" pivotButton="0" quotePrefix="0" xfId="2">
      <alignment horizontal="center" vertical="center"/>
      <protection locked="1" hidden="1"/>
    </xf>
    <xf numFmtId="1" fontId="0" fillId="0" borderId="5" applyAlignment="1" applyProtection="1" pivotButton="0" quotePrefix="0" xfId="0">
      <alignment horizontal="center" vertical="center"/>
      <protection locked="1" hidden="1"/>
    </xf>
    <xf numFmtId="0" fontId="11" fillId="0" borderId="22" applyAlignment="1" applyProtection="1" pivotButton="0" quotePrefix="0" xfId="0">
      <alignment horizontal="centerContinuous" vertical="center"/>
      <protection locked="0" hidden="1"/>
    </xf>
    <xf numFmtId="0" fontId="0" fillId="0" borderId="23" applyAlignment="1" applyProtection="1" pivotButton="0" quotePrefix="0" xfId="0">
      <alignment horizontal="centerContinuous"/>
      <protection locked="0" hidden="1"/>
    </xf>
    <xf numFmtId="0" fontId="0" fillId="0" borderId="49" applyAlignment="1" applyProtection="1" pivotButton="0" quotePrefix="0" xfId="0">
      <alignment horizontal="centerContinuous"/>
      <protection locked="0" hidden="1"/>
    </xf>
    <xf numFmtId="0" fontId="0" fillId="0" borderId="23" applyAlignment="1" applyProtection="1" pivotButton="0" quotePrefix="0" xfId="0">
      <alignment horizontal="center"/>
      <protection locked="0" hidden="1"/>
    </xf>
    <xf numFmtId="0" fontId="0" fillId="0" borderId="49" applyAlignment="1" applyProtection="1" pivotButton="0" quotePrefix="0" xfId="0">
      <alignment horizontal="center"/>
      <protection locked="0" hidden="1"/>
    </xf>
    <xf numFmtId="49" fontId="0" fillId="12" borderId="28" applyAlignment="1" applyProtection="1" pivotButton="0" quotePrefix="0" xfId="0">
      <alignment horizontal="center" vertical="center"/>
      <protection locked="0" hidden="1"/>
    </xf>
    <xf numFmtId="0" fontId="0" fillId="25" borderId="5" applyProtection="1" pivotButton="0" quotePrefix="0" xfId="0">
      <protection locked="0" hidden="1"/>
    </xf>
    <xf numFmtId="49" fontId="1" fillId="12" borderId="5" applyAlignment="1" applyProtection="1" pivotButton="0" quotePrefix="0" xfId="0">
      <alignment horizontal="center" vertical="center"/>
      <protection locked="0" hidden="1"/>
    </xf>
    <xf numFmtId="10" fontId="0" fillId="0" borderId="5" applyAlignment="1" applyProtection="1" pivotButton="0" quotePrefix="0" xfId="2">
      <alignment horizontal="center" vertical="center"/>
      <protection locked="1" hidden="1"/>
    </xf>
    <xf numFmtId="0" fontId="19" fillId="0" borderId="0" applyProtection="1" pivotButton="0" quotePrefix="0" xfId="0">
      <protection locked="1" hidden="1"/>
    </xf>
    <xf numFmtId="0" fontId="38" fillId="23" borderId="0" applyAlignment="1" applyProtection="1" pivotButton="0" quotePrefix="0" xfId="0">
      <alignment horizontal="center" vertical="center"/>
      <protection locked="0" hidden="1"/>
    </xf>
    <xf numFmtId="1" fontId="5" fillId="0" borderId="0" applyAlignment="1" applyProtection="1" pivotButton="0" quotePrefix="0" xfId="0">
      <alignment horizontal="center" vertical="center"/>
      <protection locked="1" hidden="1"/>
    </xf>
    <xf numFmtId="1" fontId="10" fillId="29" borderId="5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0" fontId="12" fillId="29" borderId="5" applyAlignment="1" applyProtection="1" pivotButton="0" quotePrefix="0" xfId="0">
      <alignment horizontal="center" vertical="center"/>
      <protection locked="1" hidden="1"/>
    </xf>
    <xf numFmtId="0" fontId="12" fillId="29" borderId="5" applyAlignment="1" applyProtection="1" pivotButton="0" quotePrefix="0" xfId="0">
      <alignment horizontal="center"/>
      <protection locked="1" hidden="1"/>
    </xf>
    <xf numFmtId="0" fontId="11" fillId="21" borderId="5" applyAlignment="1" applyProtection="1" pivotButton="0" quotePrefix="0" xfId="0">
      <alignment horizontal="center" vertical="center"/>
      <protection locked="1" hidden="1"/>
    </xf>
    <xf numFmtId="0" fontId="11" fillId="14" borderId="5" applyAlignment="1" applyProtection="1" pivotButton="0" quotePrefix="0" xfId="0">
      <alignment horizontal="center" vertical="center"/>
      <protection locked="1" hidden="1"/>
    </xf>
    <xf numFmtId="9" fontId="11" fillId="31" borderId="5" applyAlignment="1" applyProtection="1" pivotButton="0" quotePrefix="0" xfId="2">
      <alignment horizontal="center" vertical="center"/>
      <protection locked="1" hidden="1"/>
    </xf>
    <xf numFmtId="9" fontId="11" fillId="23" borderId="5" applyAlignment="1" applyProtection="1" pivotButton="0" quotePrefix="0" xfId="2">
      <alignment horizontal="center" vertical="center"/>
      <protection locked="1" hidden="1"/>
    </xf>
    <xf numFmtId="0" fontId="10" fillId="11" borderId="5" applyAlignment="1" applyProtection="1" pivotButton="0" quotePrefix="0" xfId="0">
      <alignment horizontal="center" vertical="center"/>
      <protection locked="0" hidden="1"/>
    </xf>
    <xf numFmtId="0" fontId="10" fillId="32" borderId="5" applyAlignment="1" applyProtection="1" pivotButton="0" quotePrefix="0" xfId="0">
      <alignment horizontal="center" vertical="center"/>
      <protection locked="0" hidden="1"/>
    </xf>
    <xf numFmtId="9" fontId="10" fillId="32" borderId="5" applyAlignment="1" applyProtection="1" pivotButton="0" quotePrefix="0" xfId="0">
      <alignment horizontal="center" vertical="center"/>
      <protection locked="0" hidden="1"/>
    </xf>
    <xf numFmtId="0" fontId="10" fillId="5" borderId="5" applyAlignment="1" applyProtection="1" pivotButton="0" quotePrefix="0" xfId="0">
      <alignment horizontal="center" vertical="center"/>
      <protection locked="0" hidden="1"/>
    </xf>
    <xf numFmtId="9" fontId="10" fillId="33" borderId="5" applyAlignment="1" applyProtection="1" pivotButton="0" quotePrefix="0" xfId="0">
      <alignment horizontal="center" vertical="center"/>
      <protection locked="0" hidden="1"/>
    </xf>
    <xf numFmtId="0" fontId="10" fillId="33" borderId="5" applyAlignment="1" applyProtection="1" pivotButton="0" quotePrefix="0" xfId="0">
      <alignment horizontal="center" vertical="center"/>
      <protection locked="0" hidden="1"/>
    </xf>
    <xf numFmtId="9" fontId="10" fillId="21" borderId="5" applyAlignment="1" applyProtection="1" pivotButton="0" quotePrefix="0" xfId="0">
      <alignment horizontal="center" vertical="center"/>
      <protection locked="1" hidden="1"/>
    </xf>
    <xf numFmtId="9" fontId="10" fillId="14" borderId="5" applyAlignment="1" applyProtection="1" pivotButton="0" quotePrefix="0" xfId="0">
      <alignment horizontal="center" vertical="center"/>
      <protection locked="1" hidden="1"/>
    </xf>
    <xf numFmtId="2" fontId="11" fillId="21" borderId="5" applyAlignment="1" applyProtection="1" pivotButton="0" quotePrefix="0" xfId="0">
      <alignment horizontal="center" vertical="center"/>
      <protection locked="1" hidden="1"/>
    </xf>
    <xf numFmtId="2" fontId="11" fillId="14" borderId="5" applyAlignment="1" applyProtection="1" pivotButton="0" quotePrefix="0" xfId="0">
      <alignment horizontal="center" vertical="center"/>
      <protection locked="1" hidden="1"/>
    </xf>
    <xf numFmtId="0" fontId="0" fillId="7" borderId="5" applyAlignment="1" applyProtection="1" pivotButton="0" quotePrefix="0" xfId="0">
      <alignment horizontal="center" vertical="center"/>
      <protection locked="1" hidden="1"/>
    </xf>
    <xf numFmtId="0" fontId="0" fillId="10" borderId="5" applyAlignment="1" applyProtection="1" pivotButton="0" quotePrefix="0" xfId="0">
      <alignment horizontal="center" vertical="center"/>
      <protection locked="1" hidden="1"/>
    </xf>
    <xf numFmtId="0" fontId="11" fillId="21" borderId="5" applyAlignment="1" applyProtection="1" pivotButton="0" quotePrefix="0" xfId="0">
      <alignment horizontal="center" vertical="center"/>
      <protection locked="0" hidden="1"/>
    </xf>
    <xf numFmtId="0" fontId="11" fillId="14" borderId="5" applyAlignment="1" applyProtection="1" pivotButton="0" quotePrefix="0" xfId="0">
      <alignment horizontal="center" vertical="center"/>
      <protection locked="0" hidden="1"/>
    </xf>
    <xf numFmtId="0" fontId="23" fillId="0" borderId="7" applyAlignment="1" applyProtection="1" pivotButton="0" quotePrefix="0" xfId="0">
      <alignment horizontal="center" vertical="center"/>
      <protection locked="0" hidden="1"/>
    </xf>
    <xf numFmtId="0" fontId="23" fillId="27" borderId="7" applyAlignment="1" applyProtection="1" pivotButton="0" quotePrefix="1" xfId="0">
      <alignment horizontal="center" vertical="center"/>
      <protection locked="0" hidden="1"/>
    </xf>
    <xf numFmtId="0" fontId="40" fillId="0" borderId="0" applyAlignment="1" applyProtection="1" pivotButton="0" quotePrefix="0" xfId="1">
      <alignment horizontal="center" vertical="center"/>
      <protection locked="0" hidden="1"/>
    </xf>
    <xf numFmtId="0" fontId="0" fillId="12" borderId="5" applyAlignment="1" applyProtection="1" pivotButton="0" quotePrefix="0" xfId="0">
      <alignment horizontal="center" vertical="center"/>
      <protection locked="1" hidden="1"/>
    </xf>
    <xf numFmtId="1" fontId="10" fillId="0" borderId="5" applyAlignment="1" applyProtection="1" pivotButton="0" quotePrefix="0" xfId="0">
      <alignment horizontal="center" vertical="center"/>
      <protection locked="0" hidden="1"/>
    </xf>
    <xf numFmtId="0" fontId="0" fillId="13" borderId="35" applyAlignment="1" applyProtection="1" pivotButton="0" quotePrefix="0" xfId="0">
      <alignment horizontal="center" vertical="center"/>
      <protection locked="1" hidden="1"/>
    </xf>
    <xf numFmtId="0" fontId="0" fillId="0" borderId="35" applyAlignment="1" applyProtection="1" pivotButton="0" quotePrefix="0" xfId="0">
      <alignment horizontal="center" vertical="center"/>
      <protection locked="1" hidden="1"/>
    </xf>
    <xf numFmtId="0" fontId="1" fillId="13" borderId="45" applyAlignment="1" applyProtection="1" pivotButton="0" quotePrefix="0" xfId="0">
      <alignment vertical="center"/>
      <protection locked="0" hidden="1"/>
    </xf>
    <xf numFmtId="0" fontId="0" fillId="0" borderId="40" applyAlignment="1" applyProtection="1" pivotButton="0" quotePrefix="0" xfId="0">
      <alignment vertical="center"/>
      <protection locked="1" hidden="1"/>
    </xf>
    <xf numFmtId="0" fontId="12" fillId="0" borderId="38" applyAlignment="1" applyProtection="1" pivotButton="0" quotePrefix="0" xfId="0">
      <alignment vertical="center"/>
      <protection locked="0" hidden="1"/>
    </xf>
    <xf numFmtId="0" fontId="17" fillId="0" borderId="34" applyAlignment="1" applyProtection="1" pivotButton="0" quotePrefix="0" xfId="1">
      <alignment vertical="center"/>
      <protection locked="0" hidden="1"/>
    </xf>
    <xf numFmtId="0" fontId="1" fillId="18" borderId="5" applyAlignment="1" applyProtection="1" pivotButton="0" quotePrefix="0" xfId="0">
      <alignment horizontal="center"/>
      <protection locked="0" hidden="1"/>
    </xf>
    <xf numFmtId="0" fontId="0" fillId="13" borderId="5" applyAlignment="1" applyProtection="1" pivotButton="0" quotePrefix="0" xfId="0">
      <alignment horizontal="center" vertical="center"/>
      <protection locked="1" hidden="1"/>
    </xf>
    <xf numFmtId="0" fontId="11" fillId="21" borderId="0" applyAlignment="1" applyProtection="1" pivotButton="0" quotePrefix="0" xfId="0">
      <alignment horizontal="center" vertical="center"/>
      <protection locked="1" hidden="1"/>
    </xf>
    <xf numFmtId="9" fontId="12" fillId="14" borderId="5" applyAlignment="1" applyProtection="1" pivotButton="0" quotePrefix="0" xfId="2">
      <alignment horizontal="center" vertical="center"/>
      <protection locked="1" hidden="1"/>
    </xf>
    <xf numFmtId="1" fontId="0" fillId="0" borderId="0" applyProtection="1" pivotButton="0" quotePrefix="0" xfId="0">
      <protection locked="0" hidden="1"/>
    </xf>
    <xf numFmtId="0" fontId="12" fillId="13" borderId="6" applyAlignment="1" applyProtection="1" pivotButton="0" quotePrefix="0" xfId="0">
      <alignment horizontal="center" vertical="center"/>
      <protection locked="0" hidden="1"/>
    </xf>
    <xf numFmtId="0" fontId="12" fillId="13" borderId="4" applyAlignment="1" applyProtection="1" pivotButton="0" quotePrefix="0" xfId="0">
      <alignment horizontal="center" vertical="center"/>
      <protection locked="0" hidden="1"/>
    </xf>
    <xf numFmtId="0" fontId="12" fillId="13" borderId="7" applyAlignment="1" applyProtection="1" pivotButton="0" quotePrefix="0" xfId="0">
      <alignment horizontal="center" vertical="center"/>
      <protection locked="0" hidden="1"/>
    </xf>
    <xf numFmtId="0" fontId="0" fillId="16" borderId="5" applyAlignment="1" applyProtection="1" pivotButton="0" quotePrefix="0" xfId="0">
      <alignment horizontal="center" vertical="center"/>
      <protection locked="0" hidden="1"/>
    </xf>
    <xf numFmtId="0" fontId="0" fillId="16" borderId="5" applyAlignment="1" applyProtection="1" pivotButton="0" quotePrefix="0" xfId="0">
      <alignment horizontal="center" vertical="center"/>
      <protection locked="1" hidden="1"/>
    </xf>
    <xf numFmtId="0" fontId="0" fillId="16" borderId="5" applyProtection="1" pivotButton="0" quotePrefix="0" xfId="0">
      <protection locked="0" hidden="1"/>
    </xf>
    <xf numFmtId="1" fontId="0" fillId="29" borderId="5" applyAlignment="1" applyProtection="1" pivotButton="0" quotePrefix="0" xfId="0">
      <alignment horizontal="center" vertical="center"/>
      <protection locked="1" hidden="1"/>
    </xf>
    <xf numFmtId="0" fontId="0" fillId="0" borderId="1" applyAlignment="1" applyProtection="1" pivotButton="0" quotePrefix="0" xfId="0">
      <alignment horizontal="center" vertical="center"/>
      <protection locked="0" hidden="1"/>
    </xf>
    <xf numFmtId="1" fontId="0" fillId="23" borderId="7" applyAlignment="1" applyProtection="1" pivotButton="0" quotePrefix="0" xfId="0">
      <alignment horizontal="center" vertical="center"/>
      <protection locked="1" hidden="1"/>
    </xf>
    <xf numFmtId="0" fontId="0" fillId="23" borderId="19" applyAlignment="1" applyProtection="1" pivotButton="0" quotePrefix="0" xfId="0">
      <alignment horizontal="center" vertical="center"/>
      <protection locked="1" hidden="1"/>
    </xf>
    <xf numFmtId="0" fontId="12" fillId="14" borderId="5" applyAlignment="1" applyProtection="1" pivotButton="0" quotePrefix="0" xfId="2">
      <alignment horizontal="center" vertical="center"/>
      <protection locked="1" hidden="1"/>
    </xf>
    <xf numFmtId="1" fontId="0" fillId="23" borderId="2" applyAlignment="1" applyProtection="1" pivotButton="0" quotePrefix="0" xfId="0">
      <alignment horizontal="center" vertical="center"/>
      <protection locked="1" hidden="1"/>
    </xf>
    <xf numFmtId="2" fontId="0" fillId="0" borderId="0" applyProtection="1" pivotButton="0" quotePrefix="0" xfId="0">
      <protection locked="1" hidden="1"/>
    </xf>
    <xf numFmtId="2" fontId="0" fillId="0" borderId="0" applyAlignment="1" applyProtection="1" pivotButton="0" quotePrefix="0" xfId="0">
      <alignment vertical="center"/>
      <protection locked="1" hidden="1"/>
    </xf>
    <xf numFmtId="20" fontId="0" fillId="0" borderId="0" applyProtection="1" pivotButton="0" quotePrefix="0" xfId="0">
      <protection locked="0" hidden="1"/>
    </xf>
    <xf numFmtId="0" fontId="13" fillId="0" borderId="5" applyAlignment="1" applyProtection="1" pivotButton="0" quotePrefix="0" xfId="0">
      <alignment horizontal="center" vertical="center"/>
      <protection locked="1" hidden="1"/>
    </xf>
    <xf numFmtId="0" fontId="1" fillId="16" borderId="5" applyAlignment="1" applyProtection="1" pivotButton="0" quotePrefix="0" xfId="0">
      <alignment horizontal="center" vertical="center"/>
      <protection locked="0" hidden="1"/>
    </xf>
    <xf numFmtId="2" fontId="0" fillId="29" borderId="5" applyAlignment="1" applyProtection="1" pivotButton="0" quotePrefix="0" xfId="0">
      <alignment horizontal="center" vertical="center"/>
      <protection locked="1" hidden="1"/>
    </xf>
    <xf numFmtId="0" fontId="27" fillId="16" borderId="5" applyAlignment="1" applyProtection="1" pivotButton="0" quotePrefix="0" xfId="0">
      <alignment horizontal="center" vertical="center"/>
      <protection locked="1" hidden="1"/>
    </xf>
    <xf numFmtId="0" fontId="1" fillId="12" borderId="21" applyAlignment="1" applyProtection="1" pivotButton="0" quotePrefix="0" xfId="0">
      <alignment horizontal="center" vertical="center"/>
      <protection locked="1" hidden="1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49" fontId="1" fillId="0" borderId="0" applyProtection="1" pivotButton="0" quotePrefix="0" xfId="0">
      <protection locked="0" hidden="0"/>
    </xf>
    <xf numFmtId="16" fontId="0" fillId="0" borderId="0" applyProtection="1" pivotButton="0" quotePrefix="0" xfId="0">
      <protection locked="0" hidden="0"/>
    </xf>
    <xf numFmtId="9" fontId="0" fillId="0" borderId="0" applyAlignment="1" applyProtection="1" pivotButton="0" quotePrefix="0" xfId="2">
      <alignment horizontal="center" vertical="center"/>
      <protection locked="1" hidden="1"/>
    </xf>
    <xf numFmtId="49" fontId="1" fillId="0" borderId="0" applyAlignment="1" applyProtection="1" pivotButton="0" quotePrefix="0" xfId="0">
      <alignment horizontal="center" vertical="center"/>
      <protection locked="0" hidden="0"/>
    </xf>
    <xf numFmtId="2" fontId="46" fillId="0" borderId="0" applyProtection="1" pivotButton="0" quotePrefix="0" xfId="0">
      <protection locked="1" hidden="1"/>
    </xf>
    <xf numFmtId="0" fontId="47" fillId="36" borderId="63" applyAlignment="1" applyProtection="1" pivotButton="0" quotePrefix="0" xfId="0">
      <alignment horizontal="center" vertical="center"/>
      <protection locked="1" hidden="1"/>
    </xf>
    <xf numFmtId="2" fontId="47" fillId="37" borderId="63" applyAlignment="1" applyProtection="1" pivotButton="0" quotePrefix="0" xfId="0">
      <alignment horizontal="center" vertical="center"/>
      <protection locked="1" hidden="1"/>
    </xf>
    <xf numFmtId="0" fontId="47" fillId="37" borderId="61" applyAlignment="1" applyProtection="1" pivotButton="0" quotePrefix="0" xfId="0">
      <alignment horizontal="center" vertical="center"/>
      <protection locked="1" hidden="1"/>
    </xf>
    <xf numFmtId="0" fontId="9" fillId="0" borderId="0" applyAlignment="1" applyProtection="1" pivotButton="0" quotePrefix="0" xfId="0">
      <alignment horizontal="center" vertical="center"/>
      <protection locked="0" hidden="1"/>
    </xf>
    <xf numFmtId="0" fontId="9" fillId="0" borderId="0" applyAlignment="1" applyProtection="1" pivotButton="0" quotePrefix="0" xfId="0">
      <alignment horizontal="center" vertical="center"/>
      <protection locked="1" hidden="1"/>
    </xf>
    <xf numFmtId="14" fontId="9" fillId="0" borderId="0" applyAlignment="1" applyProtection="1" pivotButton="0" quotePrefix="0" xfId="0">
      <alignment horizontal="center" vertical="center"/>
      <protection locked="1" hidden="1"/>
    </xf>
    <xf numFmtId="0" fontId="12" fillId="0" borderId="0" applyAlignment="1" applyProtection="1" pivotButton="0" quotePrefix="0" xfId="0">
      <alignment horizontal="center" vertical="center"/>
      <protection locked="1" hidden="1"/>
    </xf>
    <xf numFmtId="0" fontId="12" fillId="26" borderId="0" applyAlignment="1" applyProtection="1" pivotButton="0" quotePrefix="0" xfId="0">
      <alignment horizontal="center" vertical="center"/>
      <protection locked="1" hidden="1"/>
    </xf>
    <xf numFmtId="16" fontId="1" fillId="0" borderId="0" applyAlignment="1" applyProtection="1" pivotButton="0" quotePrefix="0" xfId="0">
      <alignment horizontal="center" vertical="center"/>
      <protection locked="0" hidden="0"/>
    </xf>
    <xf numFmtId="22" fontId="0" fillId="0" borderId="0" applyProtection="1" pivotButton="0" quotePrefix="0" xfId="0">
      <protection locked="0" hidden="1"/>
    </xf>
    <xf numFmtId="9" fontId="0" fillId="0" borderId="7" applyAlignment="1" applyProtection="1" pivotButton="0" quotePrefix="0" xfId="2">
      <alignment horizontal="center" vertical="center"/>
      <protection locked="1" hidden="1"/>
    </xf>
    <xf numFmtId="0" fontId="0" fillId="0" borderId="72" applyProtection="1" pivotButton="0" quotePrefix="0" xfId="0">
      <protection locked="0" hidden="1"/>
    </xf>
    <xf numFmtId="0" fontId="0" fillId="0" borderId="72" applyAlignment="1" applyProtection="1" pivotButton="0" quotePrefix="0" xfId="0">
      <alignment vertical="center"/>
      <protection locked="0" hidden="1"/>
    </xf>
    <xf numFmtId="0" fontId="19" fillId="35" borderId="0" applyProtection="1" pivotButton="0" quotePrefix="0" xfId="0">
      <protection locked="0" hidden="0"/>
    </xf>
    <xf numFmtId="0" fontId="19" fillId="35" borderId="0" applyAlignment="1" applyProtection="1" pivotButton="0" quotePrefix="0" xfId="0">
      <alignment horizontal="center" vertical="center"/>
      <protection locked="1" hidden="1"/>
    </xf>
    <xf numFmtId="0" fontId="31" fillId="0" borderId="0" applyAlignment="1" applyProtection="1" pivotButton="0" quotePrefix="0" xfId="0">
      <alignment horizontal="centerContinuous" vertical="center"/>
      <protection locked="1" hidden="1"/>
    </xf>
    <xf numFmtId="0" fontId="33" fillId="0" borderId="0" applyAlignment="1" applyProtection="1" pivotButton="0" quotePrefix="0" xfId="0">
      <alignment horizontal="center" vertical="center"/>
      <protection locked="1" hidden="1"/>
    </xf>
    <xf numFmtId="0" fontId="33" fillId="0" borderId="0" applyAlignment="1" applyProtection="1" pivotButton="0" quotePrefix="0" xfId="0">
      <alignment horizontal="left" vertical="center"/>
      <protection locked="1" hidden="1"/>
    </xf>
    <xf numFmtId="0" fontId="23" fillId="0" borderId="0" applyAlignment="1" applyProtection="1" pivotButton="0" quotePrefix="0" xfId="0">
      <alignment horizontal="center" vertical="center" wrapText="1"/>
      <protection locked="0" hidden="1"/>
    </xf>
    <xf numFmtId="0" fontId="23" fillId="27" borderId="0" applyAlignment="1" applyProtection="1" pivotButton="0" quotePrefix="0" xfId="0">
      <alignment horizontal="center" vertical="center"/>
      <protection locked="0" hidden="1"/>
    </xf>
    <xf numFmtId="0" fontId="23" fillId="0" borderId="0" applyAlignment="1" applyProtection="1" pivotButton="0" quotePrefix="0" xfId="0">
      <alignment horizontal="center" vertical="center"/>
      <protection locked="0" hidden="1"/>
    </xf>
    <xf numFmtId="0" fontId="23" fillId="27" borderId="0" applyAlignment="1" applyProtection="1" pivotButton="0" quotePrefix="0" xfId="0">
      <alignment horizontal="center" vertical="center"/>
      <protection locked="1" hidden="1"/>
    </xf>
    <xf numFmtId="1" fontId="23" fillId="27" borderId="0" applyAlignment="1" applyProtection="1" pivotButton="0" quotePrefix="0" xfId="0">
      <alignment horizontal="center" vertical="center"/>
      <protection locked="1" hidden="1"/>
    </xf>
    <xf numFmtId="9" fontId="44" fillId="27" borderId="0" applyAlignment="1" applyProtection="1" pivotButton="0" quotePrefix="0" xfId="2">
      <alignment horizontal="center" vertical="center"/>
      <protection locked="1" hidden="1"/>
    </xf>
    <xf numFmtId="9" fontId="1" fillId="5" borderId="0" applyAlignment="1" applyProtection="1" pivotButton="0" quotePrefix="0" xfId="2">
      <alignment horizontal="center"/>
      <protection locked="1" hidden="1"/>
    </xf>
    <xf numFmtId="0" fontId="19" fillId="35" borderId="0" applyProtection="1" pivotButton="0" quotePrefix="0" xfId="0">
      <protection locked="0" hidden="1"/>
    </xf>
    <xf numFmtId="2" fontId="0" fillId="0" borderId="5" applyAlignment="1" applyProtection="1" pivotButton="0" quotePrefix="0" xfId="0">
      <alignment horizontal="center" vertical="center"/>
      <protection locked="1" hidden="1"/>
    </xf>
    <xf numFmtId="0" fontId="19" fillId="0" borderId="0" applyProtection="1" pivotButton="0" quotePrefix="0" xfId="0">
      <protection locked="0" hidden="1"/>
    </xf>
    <xf numFmtId="0" fontId="0" fillId="0" borderId="72" applyAlignment="1" applyProtection="1" pivotButton="0" quotePrefix="0" xfId="0">
      <alignment horizontal="center" vertical="center"/>
      <protection locked="0" hidden="1"/>
    </xf>
    <xf numFmtId="9" fontId="0" fillId="23" borderId="5" applyAlignment="1" applyProtection="1" pivotButton="0" quotePrefix="0" xfId="2">
      <alignment horizontal="center" vertical="center"/>
      <protection locked="1" hidden="1"/>
    </xf>
    <xf numFmtId="0" fontId="50" fillId="0" borderId="0" applyProtection="1" pivotButton="0" quotePrefix="0" xfId="0">
      <protection locked="0" hidden="1"/>
    </xf>
    <xf numFmtId="0" fontId="51" fillId="40" borderId="73" applyAlignment="1" applyProtection="1" pivotButton="0" quotePrefix="0" xfId="0">
      <alignment horizontal="center" vertical="center"/>
      <protection locked="0" hidden="1"/>
    </xf>
    <xf numFmtId="0" fontId="0" fillId="25" borderId="33" applyAlignment="1" applyProtection="1" pivotButton="0" quotePrefix="0" xfId="0">
      <alignment horizontal="center" vertical="center"/>
      <protection locked="0" hidden="1"/>
    </xf>
    <xf numFmtId="9" fontId="0" fillId="0" borderId="33" applyAlignment="1" pivotButton="0" quotePrefix="0" xfId="2">
      <alignment horizontal="center" vertical="center"/>
    </xf>
    <xf numFmtId="2" fontId="0" fillId="23" borderId="5" applyAlignment="1" applyProtection="1" pivotButton="0" quotePrefix="0" xfId="0">
      <alignment horizontal="center" vertical="center"/>
      <protection locked="1" hidden="1"/>
    </xf>
    <xf numFmtId="0" fontId="53" fillId="0" borderId="5" applyAlignment="1" applyProtection="1" pivotButton="0" quotePrefix="0" xfId="0">
      <alignment horizontal="center" vertical="center"/>
      <protection locked="0" hidden="0"/>
    </xf>
    <xf numFmtId="0" fontId="13" fillId="0" borderId="5" applyAlignment="1" applyProtection="1" pivotButton="0" quotePrefix="0" xfId="0">
      <alignment horizontal="center" vertical="center"/>
      <protection locked="0" hidden="0"/>
    </xf>
    <xf numFmtId="0" fontId="13" fillId="41" borderId="5" applyAlignment="1" applyProtection="1" pivotButton="0" quotePrefix="0" xfId="0">
      <alignment horizontal="center" vertical="center"/>
      <protection locked="1" hidden="1"/>
    </xf>
    <xf numFmtId="16" fontId="1" fillId="0" borderId="0" applyProtection="1" pivotButton="0" quotePrefix="0" xfId="0">
      <protection locked="0" hidden="0"/>
    </xf>
    <xf numFmtId="0" fontId="42" fillId="34" borderId="60" applyAlignment="1" applyProtection="1" pivotButton="0" quotePrefix="0" xfId="0">
      <alignment horizontal="center" vertical="center"/>
      <protection locked="1" hidden="1"/>
    </xf>
    <xf numFmtId="0" fontId="1" fillId="0" borderId="1" applyProtection="1" pivotButton="0" quotePrefix="0" xfId="0">
      <protection locked="0" hidden="1"/>
    </xf>
    <xf numFmtId="0" fontId="0" fillId="0" borderId="5" applyAlignment="1" applyProtection="1" pivotButton="0" quotePrefix="0" xfId="0">
      <alignment vertical="center"/>
      <protection locked="0" hidden="1"/>
    </xf>
    <xf numFmtId="0" fontId="1" fillId="0" borderId="73" applyProtection="1" pivotButton="0" quotePrefix="0" xfId="0">
      <protection locked="1" hidden="1"/>
    </xf>
    <xf numFmtId="0" fontId="1" fillId="0" borderId="76" applyProtection="1" pivotButton="0" quotePrefix="0" xfId="0">
      <protection locked="1" hidden="1"/>
    </xf>
    <xf numFmtId="0" fontId="12" fillId="0" borderId="22" applyProtection="1" pivotButton="0" quotePrefix="0" xfId="0">
      <protection locked="1" hidden="1"/>
    </xf>
    <xf numFmtId="0" fontId="12" fillId="0" borderId="23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0" fillId="0" borderId="78" applyProtection="1" pivotButton="0" quotePrefix="0" xfId="0">
      <protection locked="1" hidden="1"/>
    </xf>
    <xf numFmtId="0" fontId="0" fillId="0" borderId="79" applyProtection="1" pivotButton="0" quotePrefix="0" xfId="0">
      <protection locked="1" hidden="1"/>
    </xf>
    <xf numFmtId="0" fontId="0" fillId="0" borderId="80" applyProtection="1" pivotButton="0" quotePrefix="0" xfId="0">
      <protection locked="1" hidden="1"/>
    </xf>
    <xf numFmtId="2" fontId="0" fillId="0" borderId="79" applyProtection="1" pivotButton="0" quotePrefix="0" xfId="0">
      <protection locked="1" hidden="1"/>
    </xf>
    <xf numFmtId="1" fontId="0" fillId="0" borderId="79" applyProtection="1" pivotButton="0" quotePrefix="0" xfId="0">
      <protection locked="1" hidden="1"/>
    </xf>
    <xf numFmtId="0" fontId="49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6" applyProtection="1" pivotButton="0" quotePrefix="0" xfId="0">
      <protection locked="1" hidden="1"/>
    </xf>
    <xf numFmtId="0" fontId="11" fillId="21" borderId="0" applyAlignment="1" applyProtection="1" pivotButton="0" quotePrefix="0" xfId="0">
      <alignment horizontal="center" vertical="center"/>
      <protection locked="0" hidden="1"/>
    </xf>
    <xf numFmtId="0" fontId="1" fillId="0" borderId="5" applyAlignment="1" applyProtection="1" pivotButton="0" quotePrefix="0" xfId="0">
      <alignment horizontal="center" vertical="center"/>
      <protection locked="1" hidden="1"/>
    </xf>
    <xf numFmtId="0" fontId="12" fillId="17" borderId="5" applyAlignment="1" applyProtection="1" pivotButton="0" quotePrefix="0" xfId="0">
      <alignment horizontal="center" vertical="center"/>
      <protection locked="1" hidden="1"/>
    </xf>
    <xf numFmtId="0" fontId="9" fillId="18" borderId="5" applyAlignment="1" applyProtection="1" pivotButton="0" quotePrefix="0" xfId="0">
      <alignment horizontal="center" vertical="center"/>
      <protection locked="1" hidden="1"/>
    </xf>
    <xf numFmtId="0" fontId="48" fillId="38" borderId="64" applyAlignment="1" applyProtection="1" pivotButton="0" quotePrefix="0" xfId="0">
      <alignment horizontal="center" vertical="center"/>
      <protection locked="0" hidden="1"/>
    </xf>
    <xf numFmtId="0" fontId="48" fillId="38" borderId="65" applyAlignment="1" applyProtection="1" pivotButton="0" quotePrefix="0" xfId="0">
      <alignment horizontal="center" vertical="center"/>
      <protection locked="0" hidden="1"/>
    </xf>
    <xf numFmtId="0" fontId="48" fillId="38" borderId="66" applyAlignment="1" applyProtection="1" pivotButton="0" quotePrefix="0" xfId="0">
      <alignment horizontal="center" vertical="center"/>
      <protection locked="0" hidden="1"/>
    </xf>
    <xf numFmtId="0" fontId="46" fillId="34" borderId="60" applyAlignment="1" applyProtection="1" pivotButton="0" quotePrefix="0" xfId="0">
      <alignment horizontal="center" vertical="center"/>
      <protection locked="0" hidden="1"/>
    </xf>
    <xf numFmtId="0" fontId="46" fillId="34" borderId="67" applyAlignment="1" applyProtection="1" pivotButton="0" quotePrefix="0" xfId="0">
      <alignment horizontal="center" vertical="center"/>
      <protection locked="0" hidden="1"/>
    </xf>
    <xf numFmtId="0" fontId="46" fillId="34" borderId="67" applyAlignment="1" applyProtection="1" pivotButton="0" quotePrefix="0" xfId="0">
      <alignment horizontal="center" vertical="center"/>
      <protection locked="1" hidden="1"/>
    </xf>
    <xf numFmtId="0" fontId="46" fillId="39" borderId="60" applyAlignment="1" applyProtection="1" pivotButton="0" quotePrefix="0" xfId="0">
      <alignment horizontal="center" vertical="center"/>
      <protection locked="0" hidden="1"/>
    </xf>
    <xf numFmtId="0" fontId="46" fillId="39" borderId="67" applyAlignment="1" applyProtection="1" pivotButton="0" quotePrefix="0" xfId="0">
      <alignment horizontal="center" vertical="center"/>
      <protection locked="0" hidden="1"/>
    </xf>
    <xf numFmtId="0" fontId="46" fillId="39" borderId="67" applyAlignment="1" applyProtection="1" pivotButton="0" quotePrefix="0" xfId="0">
      <alignment horizontal="center" vertical="center"/>
      <protection locked="1" hidden="1"/>
    </xf>
    <xf numFmtId="0" fontId="46" fillId="39" borderId="68" applyAlignment="1" applyProtection="1" pivotButton="0" quotePrefix="0" xfId="0">
      <alignment horizontal="center" vertical="center"/>
      <protection locked="1" hidden="1"/>
    </xf>
    <xf numFmtId="0" fontId="46" fillId="34" borderId="68" applyAlignment="1" applyProtection="1" pivotButton="0" quotePrefix="0" xfId="0">
      <alignment horizontal="center" vertical="center"/>
      <protection locked="1" hidden="1"/>
    </xf>
    <xf numFmtId="0" fontId="46" fillId="39" borderId="69" applyAlignment="1" applyProtection="1" pivotButton="0" quotePrefix="0" xfId="0">
      <alignment horizontal="center" vertical="center"/>
      <protection locked="0" hidden="1"/>
    </xf>
    <xf numFmtId="0" fontId="46" fillId="39" borderId="70" applyAlignment="1" applyProtection="1" pivotButton="0" quotePrefix="0" xfId="0">
      <alignment horizontal="center" vertical="center"/>
      <protection locked="0" hidden="1"/>
    </xf>
    <xf numFmtId="0" fontId="46" fillId="39" borderId="70" applyAlignment="1" applyProtection="1" pivotButton="0" quotePrefix="0" xfId="0">
      <alignment horizontal="center" vertical="center"/>
      <protection locked="1" hidden="1"/>
    </xf>
    <xf numFmtId="0" fontId="46" fillId="39" borderId="71" applyAlignment="1" applyProtection="1" pivotButton="0" quotePrefix="0" xfId="0">
      <alignment horizontal="center" vertical="center"/>
      <protection locked="1" hidden="1"/>
    </xf>
    <xf numFmtId="0" fontId="0" fillId="0" borderId="72" applyProtection="1" pivotButton="0" quotePrefix="0" xfId="0">
      <protection locked="1" hidden="1"/>
    </xf>
    <xf numFmtId="0" fontId="0" fillId="0" borderId="72" applyAlignment="1" applyProtection="1" pivotButton="0" quotePrefix="0" xfId="0">
      <alignment vertical="center"/>
      <protection locked="1" hidden="1"/>
    </xf>
    <xf numFmtId="0" fontId="54" fillId="0" borderId="0" applyProtection="1" pivotButton="0" quotePrefix="0" xfId="0">
      <protection locked="1" hidden="1"/>
    </xf>
    <xf numFmtId="0" fontId="0" fillId="0" borderId="77" applyProtection="1" pivotButton="0" quotePrefix="0" xfId="0">
      <protection locked="1" hidden="1"/>
    </xf>
    <xf numFmtId="0" fontId="0" fillId="0" borderId="0" applyAlignment="1" applyProtection="1" pivotButton="0" quotePrefix="0" xfId="0">
      <alignment horizontal="center" vertical="center"/>
      <protection locked="0" hidden="1"/>
    </xf>
    <xf numFmtId="0" fontId="0" fillId="0" borderId="72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12" fillId="13" borderId="5" applyAlignment="1" applyProtection="1" pivotButton="0" quotePrefix="0" xfId="0">
      <alignment horizontal="center" vertical="center"/>
      <protection locked="1" hidden="1"/>
    </xf>
    <xf numFmtId="2" fontId="10" fillId="3" borderId="24" applyAlignment="1" applyProtection="1" pivotButton="0" quotePrefix="0" xfId="0">
      <alignment vertical="center"/>
      <protection locked="1" hidden="1"/>
    </xf>
    <xf numFmtId="2" fontId="0" fillId="0" borderId="79" applyAlignment="1" applyProtection="1" pivotButton="0" quotePrefix="0" xfId="0">
      <alignment horizontal="center" vertical="center"/>
      <protection locked="1" hidden="1"/>
    </xf>
    <xf numFmtId="0" fontId="1" fillId="0" borderId="80" applyProtection="1" pivotButton="0" quotePrefix="0" xfId="0">
      <protection locked="1" hidden="1"/>
    </xf>
    <xf numFmtId="1" fontId="10" fillId="3" borderId="24" applyAlignment="1" applyProtection="1" pivotButton="0" quotePrefix="0" xfId="0">
      <alignment horizontal="center" vertical="center"/>
      <protection locked="0" hidden="1"/>
    </xf>
    <xf numFmtId="2" fontId="10" fillId="3" borderId="24" applyAlignment="1" applyProtection="1" pivotButton="0" quotePrefix="0" xfId="0">
      <alignment horizontal="center" vertical="center"/>
      <protection locked="0" hidden="1"/>
    </xf>
    <xf numFmtId="0" fontId="55" fillId="35" borderId="0" applyProtection="1" pivotButton="0" quotePrefix="0" xfId="0">
      <protection locked="0" hidden="0"/>
    </xf>
    <xf numFmtId="0" fontId="56" fillId="0" borderId="0" applyAlignment="1" applyProtection="1" pivotButton="0" quotePrefix="0" xfId="0">
      <alignment horizontal="center" vertical="center"/>
      <protection locked="1" hidden="1"/>
    </xf>
    <xf numFmtId="0" fontId="19" fillId="0" borderId="0" applyProtection="1" pivotButton="0" quotePrefix="0" xfId="0">
      <protection locked="0" hidden="0"/>
    </xf>
    <xf numFmtId="0" fontId="11" fillId="42" borderId="5" applyAlignment="1" applyProtection="1" pivotButton="0" quotePrefix="0" xfId="0">
      <alignment horizontal="center" vertical="center"/>
      <protection locked="1" hidden="1"/>
    </xf>
    <xf numFmtId="2" fontId="0" fillId="0" borderId="5" applyAlignment="1" applyProtection="1" pivotButton="0" quotePrefix="0" xfId="0">
      <alignment horizontal="center" vertical="center"/>
      <protection locked="0" hidden="1"/>
    </xf>
    <xf numFmtId="0" fontId="19" fillId="35" borderId="0" applyProtection="1" pivotButton="0" quotePrefix="0" xfId="0">
      <protection locked="1" hidden="1"/>
    </xf>
    <xf numFmtId="11" fontId="19" fillId="35" borderId="0" applyProtection="1" pivotButton="0" quotePrefix="0" xfId="0">
      <protection locked="1" hidden="1"/>
    </xf>
    <xf numFmtId="49" fontId="19" fillId="35" borderId="0" applyProtection="1" pivotButton="0" quotePrefix="0" xfId="0">
      <protection locked="1" hidden="1"/>
    </xf>
    <xf numFmtId="2" fontId="0" fillId="12" borderId="44" applyAlignment="1" applyProtection="1" pivotButton="0" quotePrefix="0" xfId="0">
      <alignment horizontal="center" vertical="center"/>
      <protection locked="1" hidden="1"/>
    </xf>
    <xf numFmtId="0" fontId="11" fillId="35" borderId="5" applyAlignment="1" applyProtection="1" pivotButton="0" quotePrefix="0" xfId="0">
      <alignment horizontal="center" vertical="center"/>
      <protection locked="1" hidden="1"/>
    </xf>
    <xf numFmtId="0" fontId="10" fillId="29" borderId="5" applyAlignment="1" applyProtection="1" pivotButton="0" quotePrefix="0" xfId="0">
      <alignment horizontal="center" vertical="center"/>
      <protection locked="1" hidden="1"/>
    </xf>
    <xf numFmtId="0" fontId="58" fillId="0" borderId="0" applyAlignment="1" applyProtection="1" pivotButton="0" quotePrefix="0" xfId="0">
      <alignment horizontal="center" vertical="center"/>
      <protection locked="0" hidden="1"/>
    </xf>
    <xf numFmtId="0" fontId="1" fillId="0" borderId="50" applyAlignment="1" applyProtection="1" pivotButton="0" quotePrefix="0" xfId="0">
      <alignment horizontal="left"/>
      <protection locked="1" hidden="1"/>
    </xf>
    <xf numFmtId="0" fontId="11" fillId="0" borderId="0" applyProtection="1" pivotButton="0" quotePrefix="0" xfId="0">
      <protection locked="1" hidden="1"/>
    </xf>
    <xf numFmtId="0" fontId="59" fillId="0" borderId="0" applyProtection="1" pivotButton="0" quotePrefix="0" xfId="0">
      <protection locked="1" hidden="1"/>
    </xf>
    <xf numFmtId="0" fontId="0" fillId="0" borderId="16" applyAlignment="1" applyProtection="1" pivotButton="0" quotePrefix="0" xfId="0">
      <alignment horizontal="left"/>
      <protection locked="1" hidden="1"/>
    </xf>
    <xf numFmtId="0" fontId="1" fillId="0" borderId="15" applyAlignment="1" applyProtection="1" pivotButton="0" quotePrefix="0" xfId="0">
      <alignment horizontal="left"/>
      <protection locked="1" hidden="1"/>
    </xf>
    <xf numFmtId="0" fontId="60" fillId="11" borderId="0" applyAlignment="1" applyProtection="1" pivotButton="0" quotePrefix="0" xfId="0">
      <alignment horizontal="center" vertical="center"/>
      <protection locked="0" hidden="1"/>
    </xf>
    <xf numFmtId="1" fontId="60" fillId="11" borderId="0" applyAlignment="1" applyProtection="1" pivotButton="0" quotePrefix="0" xfId="0">
      <alignment horizontal="center" vertical="center"/>
      <protection locked="0" hidden="1"/>
    </xf>
    <xf numFmtId="2" fontId="4" fillId="16" borderId="0" applyAlignment="1" applyProtection="1" pivotButton="0" quotePrefix="0" xfId="0">
      <alignment horizontal="center"/>
      <protection locked="1" hidden="1"/>
    </xf>
    <xf numFmtId="2" fontId="4" fillId="16" borderId="0" applyAlignment="1" applyProtection="1" pivotButton="0" quotePrefix="0" xfId="0">
      <alignment horizontal="center" vertical="center"/>
      <protection locked="1" hidden="1"/>
    </xf>
    <xf numFmtId="2" fontId="0" fillId="14" borderId="5" applyProtection="1" pivotButton="0" quotePrefix="0" xfId="0">
      <protection locked="0" hidden="1"/>
    </xf>
    <xf numFmtId="2" fontId="1" fillId="14" borderId="5" applyProtection="1" pivotButton="0" quotePrefix="0" xfId="0">
      <protection locked="0" hidden="1"/>
    </xf>
    <xf numFmtId="2" fontId="0" fillId="0" borderId="5" applyProtection="1" pivotButton="0" quotePrefix="0" xfId="0">
      <protection locked="0" hidden="1"/>
    </xf>
    <xf numFmtId="0" fontId="7" fillId="0" borderId="0" applyAlignment="1" applyProtection="1" pivotButton="0" quotePrefix="0" xfId="0">
      <alignment horizontal="center" vertical="center"/>
      <protection locked="0" hidden="1"/>
    </xf>
    <xf numFmtId="0" fontId="46" fillId="44" borderId="0" applyAlignment="1" applyProtection="1" pivotButton="0" quotePrefix="0" xfId="0">
      <alignment horizontal="center" vertical="center"/>
      <protection locked="0" hidden="1"/>
    </xf>
    <xf numFmtId="0" fontId="2" fillId="18" borderId="6" applyAlignment="1" applyProtection="1" pivotButton="0" quotePrefix="0" xfId="0">
      <alignment horizontal="center" vertical="center"/>
      <protection locked="0" hidden="1"/>
    </xf>
    <xf numFmtId="0" fontId="2" fillId="18" borderId="5" applyAlignment="1" applyProtection="1" pivotButton="0" quotePrefix="0" xfId="0">
      <alignment horizontal="center" vertical="center"/>
      <protection locked="0" hidden="1"/>
    </xf>
    <xf numFmtId="0" fontId="2" fillId="18" borderId="8" applyAlignment="1" applyProtection="1" pivotButton="0" quotePrefix="0" xfId="0">
      <alignment horizontal="center" vertical="center"/>
      <protection locked="1" hidden="1"/>
    </xf>
    <xf numFmtId="0" fontId="2" fillId="18" borderId="8" applyAlignment="1" applyProtection="1" pivotButton="0" quotePrefix="0" xfId="0">
      <alignment horizontal="center" vertical="center"/>
      <protection locked="0" hidden="1"/>
    </xf>
    <xf numFmtId="0" fontId="11" fillId="17" borderId="5" applyAlignment="1" applyProtection="1" pivotButton="0" quotePrefix="0" xfId="0">
      <alignment horizontal="center" vertical="center" wrapText="1"/>
      <protection locked="0" hidden="1"/>
    </xf>
    <xf numFmtId="0" fontId="61" fillId="0" borderId="0" applyProtection="1" pivotButton="0" quotePrefix="0" xfId="0">
      <protection locked="1" hidden="1"/>
    </xf>
    <xf numFmtId="1" fontId="62" fillId="28" borderId="59" applyAlignment="1" applyProtection="1" pivotButton="0" quotePrefix="0" xfId="3">
      <alignment horizontal="center" vertical="center"/>
      <protection locked="0" hidden="1"/>
    </xf>
    <xf numFmtId="1" fontId="11" fillId="0" borderId="5" applyAlignment="1" applyProtection="1" pivotButton="0" quotePrefix="0" xfId="0">
      <alignment horizontal="center" vertical="center"/>
      <protection locked="1" hidden="1"/>
    </xf>
    <xf numFmtId="2" fontId="0" fillId="0" borderId="48" applyAlignment="1" applyProtection="1" pivotButton="0" quotePrefix="0" xfId="2">
      <alignment horizontal="center" vertical="center"/>
      <protection locked="1" hidden="1"/>
    </xf>
    <xf numFmtId="0" fontId="46" fillId="34" borderId="68" applyAlignment="1" applyProtection="1" pivotButton="0" quotePrefix="0" xfId="0">
      <alignment horizontal="center" vertical="center"/>
      <protection locked="0" hidden="1"/>
    </xf>
    <xf numFmtId="0" fontId="7" fillId="0" borderId="0" applyAlignment="1" applyProtection="1" pivotButton="0" quotePrefix="0" xfId="0">
      <alignment wrapText="1"/>
      <protection locked="0" hidden="1"/>
    </xf>
    <xf numFmtId="0" fontId="17" fillId="0" borderId="6" applyAlignment="1" applyProtection="1" pivotButton="0" quotePrefix="0" xfId="1">
      <alignment horizontal="center" vertical="center"/>
      <protection locked="0" hidden="1"/>
    </xf>
    <xf numFmtId="0" fontId="2" fillId="0" borderId="8" applyAlignment="1" applyProtection="1" pivotButton="0" quotePrefix="0" xfId="0">
      <alignment horizontal="center" vertical="center"/>
      <protection locked="0" hidden="1"/>
    </xf>
    <xf numFmtId="0" fontId="11" fillId="17" borderId="6" applyAlignment="1" applyProtection="1" pivotButton="0" quotePrefix="0" xfId="0">
      <alignment horizontal="center" vertical="center"/>
      <protection locked="0" hidden="1"/>
    </xf>
    <xf numFmtId="0" fontId="11" fillId="17" borderId="8" applyAlignment="1" applyProtection="1" pivotButton="0" quotePrefix="0" xfId="0">
      <alignment horizontal="center" vertical="center"/>
      <protection locked="0" hidden="1"/>
    </xf>
    <xf numFmtId="0" fontId="5" fillId="0" borderId="0" applyAlignment="1" applyProtection="1" pivotButton="0" quotePrefix="0" xfId="0">
      <alignment horizontal="center"/>
      <protection locked="0" hidden="1"/>
    </xf>
    <xf numFmtId="0" fontId="16" fillId="27" borderId="25" applyAlignment="1" applyProtection="1" pivotButton="0" quotePrefix="0" xfId="0">
      <alignment horizontal="left" vertical="center"/>
      <protection locked="1" hidden="1"/>
    </xf>
    <xf numFmtId="0" fontId="16" fillId="27" borderId="8" applyAlignment="1" applyProtection="1" pivotButton="0" quotePrefix="0" xfId="0">
      <alignment horizontal="left" vertical="center"/>
      <protection locked="1" hidden="1"/>
    </xf>
    <xf numFmtId="0" fontId="12" fillId="15" borderId="18" applyAlignment="1" applyProtection="1" pivotButton="0" quotePrefix="0" xfId="0">
      <alignment horizontal="center" vertical="top"/>
      <protection locked="0" hidden="1"/>
    </xf>
    <xf numFmtId="0" fontId="12" fillId="15" borderId="3" applyAlignment="1" applyProtection="1" pivotButton="0" quotePrefix="0" xfId="0">
      <alignment horizontal="center" vertical="top"/>
      <protection locked="0" hidden="1"/>
    </xf>
    <xf numFmtId="0" fontId="12" fillId="15" borderId="10" applyAlignment="1" applyProtection="1" pivotButton="0" quotePrefix="0" xfId="0">
      <alignment horizontal="center" vertical="top"/>
      <protection locked="0" hidden="1"/>
    </xf>
    <xf numFmtId="0" fontId="12" fillId="15" borderId="36" applyAlignment="1" applyProtection="1" pivotButton="0" quotePrefix="0" xfId="0">
      <alignment horizontal="center" vertical="top"/>
      <protection locked="0" hidden="1"/>
    </xf>
    <xf numFmtId="0" fontId="4" fillId="0" borderId="0" applyAlignment="1" applyProtection="1" pivotButton="0" quotePrefix="0" xfId="0">
      <alignment horizontal="center" vertical="center"/>
      <protection locked="1" hidden="1"/>
    </xf>
    <xf numFmtId="0" fontId="11" fillId="0" borderId="22" applyAlignment="1" applyProtection="1" pivotButton="0" quotePrefix="0" xfId="0">
      <alignment horizontal="center" vertical="center"/>
      <protection locked="0" hidden="1"/>
    </xf>
    <xf numFmtId="0" fontId="0" fillId="0" borderId="0" applyProtection="1" pivotButton="0" quotePrefix="0" xfId="0">
      <protection locked="0" hidden="1"/>
    </xf>
    <xf numFmtId="0" fontId="2" fillId="0" borderId="5" applyAlignment="1" applyProtection="1" pivotButton="0" quotePrefix="0" xfId="0">
      <alignment horizontal="center" vertical="center"/>
      <protection locked="0" hidden="1"/>
    </xf>
    <xf numFmtId="0" fontId="6" fillId="0" borderId="5" applyAlignment="1" applyProtection="1" pivotButton="0" quotePrefix="0" xfId="0">
      <alignment horizontal="center"/>
      <protection locked="0" hidden="1"/>
    </xf>
    <xf numFmtId="0" fontId="0" fillId="0" borderId="2" applyProtection="1" pivotButton="0" quotePrefix="0" xfId="0">
      <protection locked="0" hidden="1"/>
    </xf>
    <xf numFmtId="0" fontId="0" fillId="0" borderId="1" applyProtection="1" pivotButton="0" quotePrefix="0" xfId="0">
      <protection locked="0" hidden="1"/>
    </xf>
    <xf numFmtId="0" fontId="0" fillId="0" borderId="20" applyProtection="1" pivotButton="0" quotePrefix="0" xfId="0">
      <protection locked="0" hidden="1"/>
    </xf>
    <xf numFmtId="0" fontId="17" fillId="0" borderId="5" applyAlignment="1" applyProtection="1" pivotButton="0" quotePrefix="0" xfId="1">
      <alignment horizontal="center" vertical="center"/>
      <protection locked="0" hidden="1"/>
    </xf>
    <xf numFmtId="0" fontId="0" fillId="0" borderId="9" applyProtection="1" pivotButton="0" quotePrefix="0" xfId="0">
      <protection locked="0" hidden="1"/>
    </xf>
    <xf numFmtId="0" fontId="2" fillId="0" borderId="0" applyAlignment="1" applyProtection="1" pivotButton="0" quotePrefix="0" xfId="0">
      <alignment horizontal="center"/>
      <protection locked="0" hidden="1"/>
    </xf>
    <xf numFmtId="0" fontId="0" fillId="0" borderId="0" applyProtection="1" pivotButton="0" quotePrefix="0" xfId="0">
      <protection locked="1" hidden="1"/>
    </xf>
    <xf numFmtId="0" fontId="11" fillId="0" borderId="5" applyAlignment="1" applyProtection="1" pivotButton="0" quotePrefix="0" xfId="0">
      <alignment horizontal="center" vertical="center"/>
      <protection locked="0" hidden="1"/>
    </xf>
    <xf numFmtId="0" fontId="12" fillId="0" borderId="5" applyAlignment="1" applyProtection="1" pivotButton="0" quotePrefix="0" xfId="0">
      <alignment horizontal="center" vertical="center"/>
      <protection locked="0" hidden="1"/>
    </xf>
    <xf numFmtId="0" fontId="0" fillId="0" borderId="20" applyProtection="1" pivotButton="0" quotePrefix="0" xfId="0">
      <protection locked="1" hidden="1"/>
    </xf>
    <xf numFmtId="0" fontId="11" fillId="0" borderId="6" applyAlignment="1" applyProtection="1" pivotButton="0" quotePrefix="0" xfId="0">
      <alignment horizontal="center" vertical="center"/>
      <protection locked="0" hidden="1"/>
    </xf>
    <xf numFmtId="0" fontId="10" fillId="0" borderId="0" applyAlignment="1" applyProtection="1" pivotButton="0" quotePrefix="0" xfId="0">
      <alignment horizontal="center" vertical="center"/>
      <protection locked="1" hidden="1"/>
    </xf>
    <xf numFmtId="0" fontId="15" fillId="0" borderId="0" applyAlignment="1" applyProtection="1" pivotButton="0" quotePrefix="0" xfId="0">
      <alignment horizontal="center" vertical="center"/>
      <protection locked="0" hidden="1"/>
    </xf>
    <xf numFmtId="0" fontId="10" fillId="0" borderId="0" applyAlignment="1" applyProtection="1" pivotButton="0" quotePrefix="0" xfId="0">
      <alignment horizontal="center" vertical="center"/>
      <protection locked="0" hidden="1"/>
    </xf>
    <xf numFmtId="0" fontId="11" fillId="0" borderId="0" applyAlignment="1" applyProtection="1" pivotButton="0" quotePrefix="0" xfId="0">
      <alignment horizontal="center" vertical="center"/>
      <protection locked="0" hidden="1"/>
    </xf>
    <xf numFmtId="0" fontId="20" fillId="0" borderId="0" applyAlignment="1" applyProtection="1" pivotButton="0" quotePrefix="0" xfId="1">
      <alignment horizontal="center" vertical="center"/>
      <protection locked="1" hidden="1"/>
    </xf>
    <xf numFmtId="0" fontId="13" fillId="6" borderId="0" applyAlignment="1" applyProtection="1" pivotButton="0" quotePrefix="0" xfId="0">
      <alignment horizontal="center" vertical="center"/>
      <protection locked="0" hidden="1"/>
    </xf>
    <xf numFmtId="0" fontId="0" fillId="0" borderId="32" applyProtection="1" pivotButton="0" quotePrefix="0" xfId="0">
      <protection locked="0" hidden="1"/>
    </xf>
    <xf numFmtId="0" fontId="0" fillId="0" borderId="0" applyAlignment="1" applyProtection="1" pivotButton="0" quotePrefix="0" xfId="0">
      <alignment horizontal="center"/>
      <protection locked="0" hidden="1"/>
    </xf>
    <xf numFmtId="0" fontId="0" fillId="0" borderId="15" applyProtection="1" pivotButton="0" quotePrefix="0" xfId="0">
      <protection locked="0" hidden="1"/>
    </xf>
    <xf numFmtId="0" fontId="12" fillId="0" borderId="5" applyAlignment="1" applyProtection="1" pivotButton="0" quotePrefix="0" xfId="0">
      <alignment horizontal="center"/>
      <protection locked="1" hidden="1"/>
    </xf>
    <xf numFmtId="0" fontId="0" fillId="0" borderId="23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12" fillId="13" borderId="5" applyAlignment="1" applyProtection="1" pivotButton="0" quotePrefix="0" xfId="0">
      <alignment horizontal="center" vertical="center"/>
      <protection locked="0" hidden="1"/>
    </xf>
    <xf numFmtId="0" fontId="7" fillId="0" borderId="0" applyAlignment="1" applyProtection="1" pivotButton="0" quotePrefix="0" xfId="0">
      <alignment horizontal="center"/>
      <protection locked="0" hidden="1"/>
    </xf>
    <xf numFmtId="0" fontId="12" fillId="17" borderId="5" applyAlignment="1" applyProtection="1" pivotButton="0" quotePrefix="0" xfId="0">
      <alignment horizontal="center" vertical="center"/>
      <protection locked="0" hidden="1"/>
    </xf>
    <xf numFmtId="14" fontId="12" fillId="0" borderId="0" applyAlignment="1" applyProtection="1" pivotButton="0" quotePrefix="0" xfId="0">
      <alignment horizontal="center"/>
      <protection locked="1" hidden="1"/>
    </xf>
    <xf numFmtId="0" fontId="11" fillId="0" borderId="0" applyAlignment="1" applyProtection="1" pivotButton="0" quotePrefix="0" xfId="0">
      <alignment horizontal="center" vertical="center"/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center" vertic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3" fillId="0" borderId="0" applyAlignment="1" applyProtection="1" pivotButton="0" quotePrefix="0" xfId="0">
      <alignment horizontal="center"/>
      <protection locked="1" hidden="1"/>
    </xf>
    <xf numFmtId="0" fontId="7" fillId="0" borderId="0" applyAlignment="1" applyProtection="1" pivotButton="0" quotePrefix="0" xfId="0">
      <alignment horizontal="center"/>
      <protection locked="1" hidden="1"/>
    </xf>
    <xf numFmtId="0" fontId="10" fillId="3" borderId="5" applyAlignment="1" applyProtection="1" pivotButton="0" quotePrefix="0" xfId="0">
      <alignment horizontal="center" vertical="center"/>
      <protection locked="0" hidden="1"/>
    </xf>
    <xf numFmtId="0" fontId="39" fillId="30" borderId="5" applyAlignment="1" applyProtection="1" pivotButton="0" quotePrefix="0" xfId="0">
      <alignment horizontal="center" vertical="center"/>
      <protection locked="0" hidden="1"/>
    </xf>
    <xf numFmtId="9" fontId="0" fillId="0" borderId="5" applyAlignment="1" applyProtection="1" pivotButton="0" quotePrefix="0" xfId="2">
      <alignment horizontal="center" vertical="center"/>
      <protection locked="1" hidden="1"/>
    </xf>
    <xf numFmtId="0" fontId="1" fillId="0" borderId="7" applyAlignment="1" applyProtection="1" pivotButton="0" quotePrefix="0" xfId="0">
      <alignment horizontal="center" vertical="center"/>
      <protection locked="0" hidden="1"/>
    </xf>
    <xf numFmtId="164" fontId="12" fillId="0" borderId="0" applyAlignment="1" applyProtection="1" pivotButton="0" quotePrefix="0" xfId="0">
      <alignment horizontal="center"/>
      <protection locked="0" hidden="1"/>
    </xf>
    <xf numFmtId="165" fontId="12" fillId="2" borderId="5" applyAlignment="1" applyProtection="1" pivotButton="0" quotePrefix="0" xfId="0">
      <alignment horizontal="center" vertical="center"/>
      <protection locked="0" hidden="1"/>
    </xf>
    <xf numFmtId="166" fontId="35" fillId="28" borderId="59" applyAlignment="1" applyProtection="1" pivotButton="0" quotePrefix="0" xfId="3">
      <alignment horizontal="center" vertical="center"/>
      <protection locked="1" hidden="1"/>
    </xf>
    <xf numFmtId="166" fontId="35" fillId="28" borderId="81" applyAlignment="1" applyProtection="1" pivotButton="0" quotePrefix="0" xfId="3">
      <alignment horizontal="center" vertical="center"/>
      <protection locked="1" hidden="1"/>
    </xf>
    <xf numFmtId="166" fontId="9" fillId="0" borderId="5" applyAlignment="1" applyProtection="1" pivotButton="0" quotePrefix="0" xfId="0">
      <alignment horizontal="center"/>
      <protection locked="1" hidden="1"/>
    </xf>
    <xf numFmtId="166" fontId="0" fillId="0" borderId="0" applyProtection="1" pivotButton="0" quotePrefix="0" xfId="0">
      <protection locked="1" hidden="1"/>
    </xf>
    <xf numFmtId="167" fontId="4" fillId="5" borderId="0" applyAlignment="1" applyProtection="1" pivotButton="0" quotePrefix="0" xfId="0">
      <alignment horizontal="center" vertical="center"/>
      <protection locked="1" hidden="1"/>
    </xf>
    <xf numFmtId="166" fontId="4" fillId="5" borderId="0" applyAlignment="1" applyProtection="1" pivotButton="0" quotePrefix="0" xfId="0">
      <alignment horizontal="center" vertical="center"/>
      <protection locked="1" hidden="1"/>
    </xf>
    <xf numFmtId="166" fontId="0" fillId="0" borderId="5" applyAlignment="1" applyProtection="1" pivotButton="0" quotePrefix="0" xfId="0">
      <alignment horizontal="center" vertical="center"/>
      <protection locked="1" hidden="1"/>
    </xf>
    <xf numFmtId="166" fontId="1" fillId="5" borderId="5" applyAlignment="1" applyProtection="1" pivotButton="0" quotePrefix="0" xfId="2">
      <alignment horizontal="center" vertical="center"/>
      <protection locked="1" hidden="1"/>
    </xf>
    <xf numFmtId="166" fontId="1" fillId="5" borderId="5" applyAlignment="1" applyProtection="1" pivotButton="0" quotePrefix="0" xfId="0">
      <alignment horizontal="center" vertical="center"/>
      <protection locked="1" hidden="1"/>
    </xf>
    <xf numFmtId="166" fontId="1" fillId="5" borderId="0" applyAlignment="1" applyProtection="1" pivotButton="0" quotePrefix="0" xfId="0">
      <alignment horizontal="center" vertical="center"/>
      <protection locked="1" hidden="1"/>
    </xf>
    <xf numFmtId="168" fontId="12" fillId="22" borderId="0" applyAlignment="1" applyProtection="1" pivotButton="0" quotePrefix="0" xfId="2">
      <alignment horizontal="center" vertical="center"/>
      <protection locked="0" hidden="1"/>
    </xf>
    <xf numFmtId="166" fontId="1" fillId="5" borderId="5" applyAlignment="1" applyProtection="1" pivotButton="0" quotePrefix="0" xfId="0">
      <alignment horizontal="center"/>
      <protection locked="1" hidden="1"/>
    </xf>
    <xf numFmtId="166" fontId="1" fillId="5" borderId="0" applyAlignment="1" applyProtection="1" pivotButton="0" quotePrefix="0" xfId="0">
      <alignment horizontal="center"/>
      <protection locked="1" hidden="1"/>
    </xf>
    <xf numFmtId="166" fontId="12" fillId="22" borderId="5" applyAlignment="1" applyProtection="1" pivotButton="0" quotePrefix="0" xfId="0">
      <alignment horizontal="center" vertical="center"/>
      <protection locked="1" hidden="1"/>
    </xf>
    <xf numFmtId="166" fontId="0" fillId="0" borderId="0" applyAlignment="1" applyProtection="1" pivotButton="0" quotePrefix="0" xfId="0">
      <alignment horizontal="center" vertical="center"/>
      <protection locked="1" hidden="1"/>
    </xf>
    <xf numFmtId="167" fontId="0" fillId="0" borderId="5" applyAlignment="1" applyProtection="1" pivotButton="0" quotePrefix="0" xfId="0">
      <alignment horizontal="center" vertical="center"/>
      <protection locked="1" hidden="1"/>
    </xf>
    <xf numFmtId="166" fontId="4" fillId="5" borderId="0" applyProtection="1" pivotButton="0" quotePrefix="0" xfId="0">
      <protection locked="1" hidden="1"/>
    </xf>
    <xf numFmtId="166" fontId="11" fillId="21" borderId="5" applyAlignment="1" applyProtection="1" pivotButton="0" quotePrefix="0" xfId="0">
      <alignment horizontal="center" vertical="center"/>
      <protection locked="1" hidden="1"/>
    </xf>
    <xf numFmtId="169" fontId="0" fillId="0" borderId="0" applyProtection="1" pivotButton="0" quotePrefix="0" xfId="0">
      <protection locked="0" hidden="1"/>
    </xf>
    <xf numFmtId="167" fontId="11" fillId="35" borderId="5" applyAlignment="1" applyProtection="1" pivotButton="0" quotePrefix="0" xfId="0">
      <alignment horizontal="center" vertical="center"/>
      <protection locked="1" hidden="1"/>
    </xf>
    <xf numFmtId="166" fontId="0" fillId="0" borderId="0" applyProtection="1" pivotButton="0" quotePrefix="0" xfId="0">
      <protection locked="0" hidden="1"/>
    </xf>
    <xf numFmtId="169" fontId="0" fillId="0" borderId="0" applyAlignment="1" applyProtection="1" pivotButton="0" quotePrefix="0" xfId="0">
      <alignment horizontal="center" vertical="center"/>
      <protection locked="1" hidden="1"/>
    </xf>
    <xf numFmtId="169" fontId="46" fillId="34" borderId="68" applyAlignment="1" applyProtection="1" pivotButton="0" quotePrefix="0" xfId="0">
      <alignment horizontal="center" vertical="center"/>
      <protection locked="1" hidden="1"/>
    </xf>
    <xf numFmtId="170" fontId="0" fillId="0" borderId="1" applyAlignment="1" applyProtection="1" pivotButton="0" quotePrefix="0" xfId="0">
      <alignment horizontal="center" vertical="center"/>
      <protection locked="0" hidden="1"/>
    </xf>
    <xf numFmtId="171" fontId="0" fillId="0" borderId="46" applyAlignment="1" applyProtection="1" pivotButton="0" quotePrefix="0" xfId="0">
      <alignment horizontal="center"/>
      <protection locked="0" hidden="1"/>
    </xf>
    <xf numFmtId="171" fontId="0" fillId="0" borderId="75" applyAlignment="1" applyProtection="1" pivotButton="0" quotePrefix="0" xfId="0">
      <alignment horizontal="center"/>
      <protection locked="0" hidden="1"/>
    </xf>
    <xf numFmtId="166" fontId="0" fillId="13" borderId="21" applyAlignment="1" applyProtection="1" pivotButton="0" quotePrefix="0" xfId="0">
      <alignment horizontal="center" vertical="center"/>
      <protection locked="1" hidden="1"/>
    </xf>
    <xf numFmtId="166" fontId="0" fillId="13" borderId="37" applyAlignment="1" applyProtection="1" pivotButton="0" quotePrefix="0" xfId="0">
      <alignment horizontal="center" vertical="center"/>
      <protection locked="0" hidden="1"/>
    </xf>
    <xf numFmtId="166" fontId="0" fillId="13" borderId="33" applyAlignment="1" applyProtection="1" pivotButton="0" quotePrefix="0" xfId="0">
      <alignment horizontal="center" vertical="center"/>
      <protection locked="1" hidden="1"/>
    </xf>
    <xf numFmtId="172" fontId="0" fillId="23" borderId="5" applyAlignment="1" applyProtection="1" pivotButton="0" quotePrefix="0" xfId="0">
      <alignment horizontal="center" vertical="center"/>
      <protection locked="1" hidden="1"/>
    </xf>
    <xf numFmtId="166" fontId="0" fillId="23" borderId="5" applyAlignment="1" applyProtection="1" pivotButton="0" quotePrefix="0" xfId="0">
      <alignment horizontal="center" vertical="center"/>
      <protection locked="1" hidden="1"/>
    </xf>
    <xf numFmtId="166" fontId="45" fillId="23" borderId="5" applyAlignment="1" applyProtection="1" pivotButton="0" quotePrefix="0" xfId="0">
      <alignment horizontal="center" vertical="center"/>
      <protection locked="1" hidden="1"/>
    </xf>
    <xf numFmtId="166" fontId="0" fillId="23" borderId="9" applyAlignment="1" applyProtection="1" pivotButton="0" quotePrefix="0" xfId="0">
      <alignment horizontal="center" vertical="center"/>
      <protection locked="1" hidden="1"/>
    </xf>
    <xf numFmtId="166" fontId="0" fillId="14" borderId="5" applyProtection="1" pivotButton="0" quotePrefix="0" xfId="0">
      <protection locked="1" hidden="1"/>
    </xf>
    <xf numFmtId="170" fontId="1" fillId="0" borderId="0" applyAlignment="1" applyProtection="1" pivotButton="0" quotePrefix="0" xfId="0">
      <alignment horizontal="center" vertical="center"/>
      <protection locked="1" hidden="1"/>
    </xf>
    <xf numFmtId="169" fontId="46" fillId="39" borderId="68" applyAlignment="1" applyProtection="1" pivotButton="0" quotePrefix="0" xfId="0">
      <alignment horizontal="center" vertical="center"/>
      <protection locked="1" hidden="1"/>
    </xf>
    <xf numFmtId="169" fontId="0" fillId="0" borderId="5" applyAlignment="1" applyProtection="1" pivotButton="0" quotePrefix="0" xfId="0">
      <alignment horizontal="center" vertical="center"/>
      <protection locked="1" hidden="1"/>
    </xf>
    <xf numFmtId="169" fontId="46" fillId="39" borderId="71" applyAlignment="1" applyProtection="1" pivotButton="0" quotePrefix="0" xfId="0">
      <alignment horizontal="center" vertical="center"/>
      <protection locked="1" hidden="1"/>
    </xf>
    <xf numFmtId="169" fontId="0" fillId="12" borderId="44" applyAlignment="1" applyProtection="1" pivotButton="0" quotePrefix="0" xfId="0">
      <alignment horizontal="center" vertical="center"/>
      <protection locked="1" hidden="1"/>
    </xf>
    <xf numFmtId="169" fontId="0" fillId="0" borderId="0" applyProtection="1" pivotButton="0" quotePrefix="0" xfId="0">
      <protection locked="1" hidden="1"/>
    </xf>
    <xf numFmtId="169" fontId="0" fillId="0" borderId="0" applyAlignment="1" applyProtection="1" pivotButton="0" quotePrefix="0" xfId="0">
      <alignment vertical="center"/>
      <protection locked="1" hidden="1"/>
    </xf>
    <xf numFmtId="169" fontId="0" fillId="0" borderId="48" applyAlignment="1" applyProtection="1" pivotButton="0" quotePrefix="0" xfId="0">
      <alignment horizontal="center" vertical="center"/>
      <protection locked="1" hidden="1"/>
    </xf>
    <xf numFmtId="167" fontId="37" fillId="5" borderId="5" applyAlignment="1" applyProtection="1" pivotButton="0" quotePrefix="0" xfId="0">
      <alignment horizontal="center" vertical="center"/>
      <protection locked="1" hidden="1"/>
    </xf>
    <xf numFmtId="167" fontId="10" fillId="29" borderId="5" applyAlignment="1" applyProtection="1" pivotButton="0" quotePrefix="0" xfId="0">
      <alignment horizontal="center" vertical="center"/>
      <protection locked="1" hidden="1"/>
    </xf>
    <xf numFmtId="166" fontId="5" fillId="0" borderId="0" applyAlignment="1" applyProtection="1" pivotButton="0" quotePrefix="0" xfId="0">
      <alignment horizontal="center" vertical="center"/>
      <protection locked="0" hidden="1"/>
    </xf>
    <xf numFmtId="167" fontId="5" fillId="0" borderId="0" applyAlignment="1" applyProtection="1" pivotButton="0" quotePrefix="0" xfId="0">
      <alignment horizontal="center" vertical="center"/>
      <protection locked="1" hidden="1"/>
    </xf>
    <xf numFmtId="169" fontId="1" fillId="12" borderId="5" applyAlignment="1" applyProtection="1" pivotButton="0" quotePrefix="0" xfId="0">
      <alignment horizontal="center" vertical="center"/>
      <protection locked="1" hidden="1"/>
    </xf>
    <xf numFmtId="168" fontId="0" fillId="0" borderId="5" applyAlignment="1" applyProtection="1" pivotButton="0" quotePrefix="0" xfId="2">
      <alignment horizontal="center" vertical="center"/>
      <protection locked="1" hidden="1"/>
    </xf>
    <xf numFmtId="169" fontId="1" fillId="0" borderId="5" applyAlignment="1" applyProtection="1" pivotButton="0" quotePrefix="0" xfId="0">
      <alignment horizontal="center" vertical="center"/>
      <protection locked="0" hidden="1"/>
    </xf>
    <xf numFmtId="169" fontId="1" fillId="0" borderId="5" applyAlignment="1" applyProtection="1" pivotButton="0" quotePrefix="0" xfId="0">
      <alignment horizontal="center" vertical="center"/>
      <protection locked="1" hidden="1"/>
    </xf>
    <xf numFmtId="166" fontId="47" fillId="36" borderId="61" applyAlignment="1" applyProtection="1" pivotButton="0" quotePrefix="0" xfId="0">
      <alignment horizontal="center" vertical="center"/>
      <protection locked="1" hidden="1"/>
    </xf>
    <xf numFmtId="166" fontId="47" fillId="37" borderId="61" applyAlignment="1" applyProtection="1" pivotButton="0" quotePrefix="0" xfId="0">
      <alignment horizontal="center" vertical="center"/>
      <protection locked="1" hidden="1"/>
    </xf>
    <xf numFmtId="166" fontId="47" fillId="36" borderId="62" applyAlignment="1" applyProtection="1" pivotButton="0" quotePrefix="0" xfId="0">
      <alignment horizontal="center" vertical="center"/>
      <protection locked="1" hidden="1"/>
    </xf>
    <xf numFmtId="169" fontId="0" fillId="12" borderId="5" applyAlignment="1" applyProtection="1" pivotButton="0" quotePrefix="0" xfId="0">
      <alignment horizontal="center" vertical="center"/>
      <protection locked="1" hidden="1"/>
    </xf>
    <xf numFmtId="166" fontId="0" fillId="12" borderId="44" applyAlignment="1" applyProtection="1" pivotButton="0" quotePrefix="0" xfId="0">
      <alignment horizontal="center" vertical="center"/>
      <protection locked="1" hidden="1"/>
    </xf>
    <xf numFmtId="170" fontId="0" fillId="0" borderId="1" applyAlignment="1" applyProtection="1" pivotButton="0" quotePrefix="0" xfId="0">
      <alignment horizontal="center" vertical="center"/>
      <protection locked="1" hidden="1"/>
    </xf>
    <xf numFmtId="171" fontId="0" fillId="0" borderId="4" applyAlignment="1" applyProtection="1" pivotButton="0" quotePrefix="0" xfId="0">
      <alignment horizontal="center" vertical="center"/>
      <protection locked="1" hidden="1"/>
    </xf>
    <xf numFmtId="171" fontId="0" fillId="0" borderId="44" applyAlignment="1" applyProtection="1" pivotButton="0" quotePrefix="0" xfId="0">
      <alignment horizontal="center" vertical="center"/>
      <protection locked="1" hidden="1"/>
    </xf>
    <xf numFmtId="166" fontId="0" fillId="13" borderId="7" applyAlignment="1" applyProtection="1" pivotButton="0" quotePrefix="0" xfId="0">
      <alignment horizontal="center" vertical="center"/>
      <protection locked="1" hidden="1"/>
    </xf>
    <xf numFmtId="166" fontId="0" fillId="0" borderId="35" applyAlignment="1" applyProtection="1" pivotButton="0" quotePrefix="0" xfId="0">
      <alignment horizontal="center" vertical="center"/>
      <protection locked="1" hidden="1"/>
    </xf>
    <xf numFmtId="166" fontId="0" fillId="0" borderId="7" applyAlignment="1" applyProtection="1" pivotButton="0" quotePrefix="0" xfId="0">
      <alignment horizontal="center" vertical="center"/>
      <protection locked="1" hidden="1"/>
    </xf>
    <xf numFmtId="166" fontId="0" fillId="13" borderId="37" applyAlignment="1" applyProtection="1" pivotButton="0" quotePrefix="0" xfId="0">
      <alignment horizontal="center" vertical="center"/>
      <protection locked="1" hidden="1"/>
    </xf>
    <xf numFmtId="166" fontId="12" fillId="0" borderId="5" applyAlignment="1" applyProtection="1" pivotButton="0" quotePrefix="0" xfId="0">
      <alignment horizontal="center" vertical="center"/>
      <protection locked="1" hidden="1"/>
    </xf>
    <xf numFmtId="166" fontId="12" fillId="0" borderId="5" applyAlignment="1" applyProtection="1" pivotButton="0" quotePrefix="0" xfId="0">
      <alignment horizontal="center" vertical="center"/>
      <protection locked="0" hidden="1"/>
    </xf>
    <xf numFmtId="166" fontId="12" fillId="0" borderId="5" applyAlignment="1" applyProtection="1" pivotButton="0" quotePrefix="0" xfId="0">
      <alignment vertical="center"/>
      <protection locked="0" hidden="1"/>
    </xf>
    <xf numFmtId="0" fontId="7" fillId="0" borderId="0" applyAlignment="1" applyProtection="1" pivotButton="0" quotePrefix="0" xfId="0">
      <alignment horizontal="center" wrapText="1"/>
      <protection locked="0" hidden="1"/>
    </xf>
    <xf numFmtId="0" fontId="0" fillId="0" borderId="0" applyProtection="1" pivotButton="0" quotePrefix="0" xfId="0">
      <protection locked="0" hidden="1"/>
    </xf>
    <xf numFmtId="0" fontId="12" fillId="0" borderId="0" applyAlignment="1" applyProtection="1" pivotButton="0" quotePrefix="0" xfId="0">
      <alignment horizontal="center"/>
      <protection locked="0" hidden="1"/>
    </xf>
    <xf numFmtId="0" fontId="2" fillId="0" borderId="5" applyAlignment="1" applyProtection="1" pivotButton="0" quotePrefix="0" xfId="0">
      <alignment horizontal="center" vertical="center"/>
      <protection locked="0" hidden="1"/>
    </xf>
    <xf numFmtId="0" fontId="0" fillId="0" borderId="8" applyProtection="1" pivotButton="0" quotePrefix="0" xfId="0">
      <protection locked="0" hidden="1"/>
    </xf>
    <xf numFmtId="0" fontId="6" fillId="0" borderId="5" applyAlignment="1" applyProtection="1" pivotButton="0" quotePrefix="0" xfId="0">
      <alignment horizontal="center"/>
      <protection locked="0" hidden="1"/>
    </xf>
    <xf numFmtId="0" fontId="0" fillId="0" borderId="2" applyProtection="1" pivotButton="0" quotePrefix="0" xfId="0">
      <protection locked="0" hidden="1"/>
    </xf>
    <xf numFmtId="0" fontId="0" fillId="0" borderId="3" applyProtection="1" pivotButton="0" quotePrefix="0" xfId="0">
      <protection locked="0" hidden="1"/>
    </xf>
    <xf numFmtId="0" fontId="0" fillId="0" borderId="19" applyProtection="1" pivotButton="0" quotePrefix="0" xfId="0">
      <protection locked="0" hidden="1"/>
    </xf>
    <xf numFmtId="0" fontId="0" fillId="0" borderId="1" applyProtection="1" pivotButton="0" quotePrefix="0" xfId="0">
      <protection locked="0" hidden="1"/>
    </xf>
    <xf numFmtId="0" fontId="0" fillId="0" borderId="20" applyProtection="1" pivotButton="0" quotePrefix="0" xfId="0">
      <protection locked="0" hidden="1"/>
    </xf>
    <xf numFmtId="1" fontId="62" fillId="28" borderId="85" applyAlignment="1" applyProtection="1" pivotButton="0" quotePrefix="0" xfId="3">
      <alignment horizontal="center" vertical="center"/>
      <protection locked="0" hidden="1"/>
    </xf>
    <xf numFmtId="0" fontId="0" fillId="0" borderId="82" applyProtection="1" pivotButton="0" quotePrefix="0" xfId="0">
      <protection locked="0" hidden="1"/>
    </xf>
    <xf numFmtId="0" fontId="3" fillId="0" borderId="1" applyAlignment="1" applyProtection="1" pivotButton="0" quotePrefix="0" xfId="0">
      <alignment horizontal="center"/>
      <protection locked="0" hidden="1"/>
    </xf>
    <xf numFmtId="0" fontId="11" fillId="0" borderId="5" applyAlignment="1" applyProtection="1" pivotButton="0" quotePrefix="0" xfId="0">
      <alignment horizontal="center"/>
      <protection locked="0" hidden="1"/>
    </xf>
    <xf numFmtId="0" fontId="5" fillId="0" borderId="1" applyAlignment="1" applyProtection="1" pivotButton="0" quotePrefix="0" xfId="0">
      <alignment horizontal="center"/>
      <protection locked="0" hidden="1"/>
    </xf>
    <xf numFmtId="0" fontId="2" fillId="0" borderId="5" applyAlignment="1" applyProtection="1" pivotButton="0" quotePrefix="0" xfId="0">
      <alignment horizontal="left" vertical="center"/>
      <protection locked="0" hidden="1"/>
    </xf>
    <xf numFmtId="0" fontId="0" fillId="0" borderId="9" applyProtection="1" pivotButton="0" quotePrefix="0" xfId="0">
      <protection locked="0" hidden="1"/>
    </xf>
    <xf numFmtId="0" fontId="2" fillId="0" borderId="1" applyAlignment="1" applyProtection="1" pivotButton="0" quotePrefix="0" xfId="0">
      <alignment horizontal="center"/>
      <protection locked="0" hidden="1"/>
    </xf>
    <xf numFmtId="166" fontId="35" fillId="28" borderId="59" applyAlignment="1" applyProtection="1" pivotButton="0" quotePrefix="0" xfId="3">
      <alignment horizontal="center" vertical="center"/>
      <protection locked="1" hidden="1"/>
    </xf>
    <xf numFmtId="0" fontId="0" fillId="0" borderId="84" applyProtection="1" pivotButton="0" quotePrefix="0" xfId="0">
      <protection locked="1" hidden="1"/>
    </xf>
    <xf numFmtId="0" fontId="0" fillId="0" borderId="81" applyProtection="1" pivotButton="0" quotePrefix="0" xfId="0">
      <protection locked="1" hidden="1"/>
    </xf>
    <xf numFmtId="0" fontId="2" fillId="18" borderId="5" applyAlignment="1" applyProtection="1" pivotButton="0" quotePrefix="0" xfId="0">
      <alignment horizontal="center"/>
      <protection locked="0" hidden="1"/>
    </xf>
    <xf numFmtId="2" fontId="3" fillId="0" borderId="17" applyAlignment="1" applyProtection="1" pivotButton="0" quotePrefix="0" xfId="0">
      <alignment horizontal="center"/>
      <protection locked="0" hidden="1"/>
    </xf>
    <xf numFmtId="0" fontId="0" fillId="0" borderId="17" applyProtection="1" pivotButton="0" quotePrefix="0" xfId="0">
      <protection locked="0" hidden="1"/>
    </xf>
    <xf numFmtId="0" fontId="2" fillId="0" borderId="5" applyAlignment="1" applyProtection="1" pivotButton="0" quotePrefix="0" xfId="0">
      <alignment horizontal="center" readingOrder="1"/>
      <protection locked="0" hidden="1"/>
    </xf>
    <xf numFmtId="0" fontId="11" fillId="20" borderId="5" applyAlignment="1" applyProtection="1" pivotButton="0" quotePrefix="0" xfId="0">
      <alignment horizontal="center" vertical="top"/>
      <protection locked="0" hidden="1"/>
    </xf>
    <xf numFmtId="0" fontId="2" fillId="0" borderId="5" applyAlignment="1" applyProtection="1" pivotButton="0" quotePrefix="0" xfId="0">
      <alignment horizontal="center" vertical="center" textRotation="90"/>
      <protection locked="0" hidden="1"/>
    </xf>
    <xf numFmtId="0" fontId="0" fillId="0" borderId="21" applyProtection="1" pivotButton="0" quotePrefix="0" xfId="0">
      <protection locked="0" hidden="1"/>
    </xf>
    <xf numFmtId="0" fontId="0" fillId="0" borderId="7" applyProtection="1" pivotButton="0" quotePrefix="0" xfId="0">
      <protection locked="0" hidden="1"/>
    </xf>
    <xf numFmtId="0" fontId="11" fillId="0" borderId="6" applyAlignment="1" applyProtection="1" pivotButton="0" quotePrefix="0" xfId="0">
      <alignment horizontal="center" vertical="center"/>
      <protection locked="0" hidden="1"/>
    </xf>
    <xf numFmtId="0" fontId="11" fillId="20" borderId="5" applyAlignment="1" applyProtection="1" pivotButton="0" quotePrefix="0" xfId="0">
      <alignment horizontal="center" vertical="justify"/>
      <protection locked="0" hidden="1"/>
    </xf>
    <xf numFmtId="0" fontId="11" fillId="0" borderId="7" applyAlignment="1" applyProtection="1" pivotButton="0" quotePrefix="0" xfId="0">
      <alignment horizontal="center" vertical="center"/>
      <protection locked="0" hidden="1"/>
    </xf>
    <xf numFmtId="0" fontId="2" fillId="0" borderId="0" applyAlignment="1" applyProtection="1" pivotButton="0" quotePrefix="0" xfId="0">
      <alignment horizontal="center"/>
      <protection locked="0" hidden="1"/>
    </xf>
    <xf numFmtId="0" fontId="5" fillId="0" borderId="5" applyAlignment="1" applyProtection="1" pivotButton="0" quotePrefix="0" xfId="0">
      <alignment horizontal="center" vertical="center"/>
      <protection locked="0" hidden="1"/>
    </xf>
    <xf numFmtId="1" fontId="9" fillId="0" borderId="5" applyAlignment="1" applyProtection="1" pivotButton="0" quotePrefix="0" xfId="0">
      <alignment horizontal="center" vertical="center"/>
      <protection locked="1" hidden="1"/>
    </xf>
    <xf numFmtId="0" fontId="0" fillId="0" borderId="8" applyProtection="1" pivotButton="0" quotePrefix="0" xfId="0">
      <protection locked="1" hidden="1"/>
    </xf>
    <xf numFmtId="0" fontId="11" fillId="0" borderId="21" applyAlignment="1" applyProtection="1" pivotButton="0" quotePrefix="0" xfId="0">
      <alignment horizontal="center" vertical="center"/>
      <protection locked="0" hidden="1"/>
    </xf>
    <xf numFmtId="0" fontId="0" fillId="0" borderId="36" applyProtection="1" pivotButton="0" quotePrefix="0" xfId="0">
      <protection locked="0" hidden="1"/>
    </xf>
    <xf numFmtId="0" fontId="2" fillId="0" borderId="5" applyAlignment="1" applyProtection="1" pivotButton="0" quotePrefix="0" xfId="0">
      <alignment horizontal="left" vertical="justify"/>
      <protection locked="0" hidden="1"/>
    </xf>
    <xf numFmtId="0" fontId="11" fillId="0" borderId="4" applyAlignment="1" applyProtection="1" pivotButton="0" quotePrefix="0" xfId="0">
      <alignment horizontal="center" vertical="center"/>
      <protection locked="1" hidden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52" fillId="0" borderId="5" applyAlignment="1" applyProtection="1" pivotButton="0" quotePrefix="0" xfId="1">
      <alignment horizontal="center" vertical="justify"/>
      <protection locked="0" hidden="1"/>
    </xf>
    <xf numFmtId="0" fontId="11" fillId="20" borderId="6" applyAlignment="1" applyProtection="1" pivotButton="0" quotePrefix="0" xfId="0">
      <alignment horizontal="center" vertical="justify"/>
      <protection locked="0" hidden="1"/>
    </xf>
    <xf numFmtId="173" fontId="2" fillId="0" borderId="5" applyAlignment="1" applyProtection="1" pivotButton="0" quotePrefix="0" xfId="0">
      <alignment horizontal="center" vertical="center"/>
      <protection locked="0" hidden="1"/>
    </xf>
    <xf numFmtId="0" fontId="12" fillId="26" borderId="5" applyAlignment="1" applyProtection="1" pivotButton="0" quotePrefix="0" xfId="0">
      <alignment horizontal="center" vertical="center"/>
      <protection locked="0" hidden="1"/>
    </xf>
    <xf numFmtId="0" fontId="2" fillId="0" borderId="5" applyAlignment="1" applyProtection="1" pivotButton="0" quotePrefix="0" xfId="0">
      <alignment horizontal="center" vertical="justify"/>
      <protection locked="0" hidden="1"/>
    </xf>
    <xf numFmtId="164" fontId="1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11" fillId="0" borderId="21" applyAlignment="1" applyProtection="1" pivotButton="0" quotePrefix="0" xfId="0">
      <alignment horizontal="center" vertical="center"/>
      <protection locked="1" hidden="1"/>
    </xf>
    <xf numFmtId="0" fontId="0" fillId="0" borderId="36" applyProtection="1" pivotButton="0" quotePrefix="0" xfId="0">
      <protection locked="1" hidden="1"/>
    </xf>
    <xf numFmtId="9" fontId="12" fillId="0" borderId="86" applyAlignment="1" applyProtection="1" pivotButton="0" quotePrefix="0" xfId="2">
      <alignment horizontal="center" vertical="center"/>
      <protection locked="1" hidden="1"/>
    </xf>
    <xf numFmtId="0" fontId="0" fillId="0" borderId="52" applyProtection="1" pivotButton="0" quotePrefix="0" xfId="0">
      <protection locked="1" hidden="1"/>
    </xf>
    <xf numFmtId="0" fontId="0" fillId="0" borderId="53" applyProtection="1" pivotButton="0" quotePrefix="0" xfId="0">
      <protection locked="1" hidden="1"/>
    </xf>
    <xf numFmtId="0" fontId="11" fillId="17" borderId="5" applyAlignment="1" applyProtection="1" pivotButton="0" quotePrefix="0" xfId="0">
      <alignment horizontal="center" vertical="center"/>
      <protection locked="0" hidden="1"/>
    </xf>
    <xf numFmtId="0" fontId="11" fillId="0" borderId="3" applyAlignment="1" applyProtection="1" pivotButton="0" quotePrefix="0" xfId="0">
      <alignment horizontal="center" vertical="center"/>
      <protection locked="1" hidden="1"/>
    </xf>
    <xf numFmtId="0" fontId="11" fillId="0" borderId="5" applyAlignment="1" applyProtection="1" pivotButton="0" quotePrefix="0" xfId="0">
      <alignment horizontal="center" vertical="center"/>
      <protection locked="0" hidden="1"/>
    </xf>
    <xf numFmtId="0" fontId="10" fillId="0" borderId="83" applyAlignment="1" applyProtection="1" pivotButton="0" quotePrefix="0" xfId="0">
      <alignment horizontal="center" vertical="center"/>
      <protection locked="0" hidden="1"/>
    </xf>
    <xf numFmtId="0" fontId="0" fillId="0" borderId="41" applyProtection="1" pivotButton="0" quotePrefix="0" xfId="0">
      <protection locked="0" hidden="1"/>
    </xf>
    <xf numFmtId="0" fontId="0" fillId="0" borderId="74" applyProtection="1" pivotButton="0" quotePrefix="0" xfId="0">
      <protection locked="0" hidden="1"/>
    </xf>
    <xf numFmtId="0" fontId="17" fillId="0" borderId="5" applyAlignment="1" applyProtection="1" pivotButton="0" quotePrefix="0" xfId="1">
      <alignment horizontal="center" vertical="center"/>
      <protection locked="0" hidden="1"/>
    </xf>
    <xf numFmtId="0" fontId="12" fillId="0" borderId="5" applyAlignment="1" applyProtection="1" pivotButton="0" quotePrefix="0" xfId="0">
      <alignment horizontal="center" vertical="center"/>
      <protection locked="0" hidden="1"/>
    </xf>
    <xf numFmtId="174" fontId="11" fillId="0" borderId="7" applyAlignment="1" applyProtection="1" pivotButton="0" quotePrefix="0" xfId="0">
      <alignment horizontal="center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11" fillId="0" borderId="20" applyAlignment="1" applyProtection="1" pivotButton="0" quotePrefix="0" xfId="0">
      <alignment horizontal="center" vertical="center"/>
      <protection locked="1" hidden="1"/>
    </xf>
    <xf numFmtId="175" fontId="11" fillId="0" borderId="4" applyAlignment="1" applyProtection="1" pivotButton="0" quotePrefix="0" xfId="0">
      <alignment horizontal="center" vertical="center"/>
      <protection locked="1" hidden="1"/>
    </xf>
    <xf numFmtId="0" fontId="10" fillId="17" borderId="5" applyAlignment="1" applyProtection="1" pivotButton="0" quotePrefix="0" xfId="0">
      <alignment horizontal="center" vertical="center"/>
      <protection locked="0" hidden="1"/>
    </xf>
    <xf numFmtId="0" fontId="10" fillId="0" borderId="0" applyAlignment="1" applyProtection="1" pivotButton="0" quotePrefix="0" xfId="0">
      <alignment horizontal="center" vertical="center"/>
      <protection locked="1" hidden="1"/>
    </xf>
    <xf numFmtId="0" fontId="23" fillId="0" borderId="0" applyAlignment="1" applyProtection="1" pivotButton="0" quotePrefix="0" xfId="0">
      <alignment horizontal="center"/>
      <protection locked="0" hidden="1"/>
    </xf>
    <xf numFmtId="14" fontId="33" fillId="0" borderId="28" applyAlignment="1" applyProtection="1" pivotButton="0" quotePrefix="0" xfId="0">
      <alignment horizontal="center" vertical="center"/>
      <protection locked="1" hidden="1"/>
    </xf>
    <xf numFmtId="0" fontId="0" fillId="0" borderId="28" applyProtection="1" pivotButton="0" quotePrefix="0" xfId="0">
      <protection locked="1" hidden="1"/>
    </xf>
    <xf numFmtId="0" fontId="23" fillId="0" borderId="87" applyAlignment="1" applyProtection="1" pivotButton="0" quotePrefix="0" xfId="0">
      <alignment horizontal="center" vertical="center" wrapText="1"/>
      <protection locked="0" hidden="1"/>
    </xf>
    <xf numFmtId="0" fontId="0" fillId="0" borderId="57" applyProtection="1" pivotButton="0" quotePrefix="0" xfId="0">
      <protection locked="0" hidden="1"/>
    </xf>
    <xf numFmtId="0" fontId="15" fillId="0" borderId="0" applyAlignment="1" applyProtection="1" pivotButton="0" quotePrefix="0" xfId="0">
      <alignment horizontal="center" vertical="center"/>
      <protection locked="0" hidden="1"/>
    </xf>
    <xf numFmtId="9" fontId="44" fillId="27" borderId="5" applyAlignment="1" applyProtection="1" pivotButton="0" quotePrefix="0" xfId="2">
      <alignment horizontal="center" vertical="center"/>
      <protection locked="1" hidden="1"/>
    </xf>
    <xf numFmtId="0" fontId="34" fillId="0" borderId="94" applyAlignment="1" applyProtection="1" pivotButton="0" quotePrefix="0" xfId="0">
      <alignment horizontal="left" vertical="center"/>
      <protection locked="1" hidden="1"/>
    </xf>
    <xf numFmtId="0" fontId="0" fillId="0" borderId="56" applyProtection="1" pivotButton="0" quotePrefix="0" xfId="0">
      <protection locked="1" hidden="1"/>
    </xf>
    <xf numFmtId="1" fontId="23" fillId="27" borderId="5" applyAlignment="1" applyProtection="1" pivotButton="0" quotePrefix="0" xfId="0">
      <alignment horizontal="center" vertical="center"/>
      <protection locked="1" hidden="1"/>
    </xf>
    <xf numFmtId="1" fontId="10" fillId="0" borderId="0" applyAlignment="1" applyProtection="1" pivotButton="0" quotePrefix="0" xfId="0">
      <alignment horizontal="center" vertical="center"/>
      <protection locked="1" hidden="1"/>
    </xf>
    <xf numFmtId="0" fontId="10" fillId="0" borderId="0" applyAlignment="1" applyProtection="1" pivotButton="0" quotePrefix="0" xfId="0">
      <alignment horizontal="center" vertical="center"/>
      <protection locked="0" hidden="1"/>
    </xf>
    <xf numFmtId="0" fontId="23" fillId="0" borderId="0" applyAlignment="1" applyProtection="1" pivotButton="0" quotePrefix="0" xfId="0">
      <alignment horizontal="center" vertical="center"/>
      <protection locked="1" hidden="1"/>
    </xf>
    <xf numFmtId="0" fontId="32" fillId="27" borderId="91" applyAlignment="1" applyProtection="1" pivotButton="0" quotePrefix="0" xfId="0">
      <alignment horizontal="center" vertical="center"/>
      <protection locked="1" hidden="1"/>
    </xf>
    <xf numFmtId="0" fontId="0" fillId="0" borderId="27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0" fontId="11" fillId="0" borderId="0" applyAlignment="1" applyProtection="1" pivotButton="0" quotePrefix="0" xfId="0">
      <alignment horizontal="center" vertical="center"/>
      <protection locked="0" hidden="1"/>
    </xf>
    <xf numFmtId="0" fontId="16" fillId="0" borderId="92" applyAlignment="1" applyProtection="1" pivotButton="0" quotePrefix="0" xfId="0">
      <alignment horizontal="left" vertical="center"/>
      <protection locked="1" hidden="1"/>
    </xf>
    <xf numFmtId="0" fontId="0" fillId="0" borderId="32" applyProtection="1" pivotButton="0" quotePrefix="0" xfId="0">
      <protection locked="1" hidden="1"/>
    </xf>
    <xf numFmtId="0" fontId="33" fillId="0" borderId="93" applyAlignment="1" applyProtection="1" pivotButton="0" quotePrefix="0" xfId="0">
      <alignment horizontal="left" vertical="center"/>
      <protection locked="1" hidden="1"/>
    </xf>
    <xf numFmtId="0" fontId="0" fillId="0" borderId="9" applyProtection="1" pivotButton="0" quotePrefix="0" xfId="0">
      <protection locked="1" hidden="1"/>
    </xf>
    <xf numFmtId="0" fontId="0" fillId="0" borderId="26" applyProtection="1" pivotButton="0" quotePrefix="0" xfId="0">
      <protection locked="1" hidden="1"/>
    </xf>
    <xf numFmtId="0" fontId="16" fillId="27" borderId="88" applyAlignment="1" applyProtection="1" pivotButton="0" quotePrefix="0" xfId="0">
      <alignment horizontal="left" vertical="center"/>
      <protection locked="1" hidden="1"/>
    </xf>
    <xf numFmtId="14" fontId="33" fillId="0" borderId="29" applyAlignment="1" applyProtection="1" pivotButton="0" quotePrefix="0" xfId="0">
      <alignment horizontal="center" vertical="center"/>
      <protection locked="1" hidden="1"/>
    </xf>
    <xf numFmtId="0" fontId="16" fillId="0" borderId="89" applyAlignment="1" applyProtection="1" pivotButton="0" quotePrefix="0" xfId="0">
      <alignment horizontal="left" vertical="center"/>
      <protection locked="1" hidden="1"/>
    </xf>
    <xf numFmtId="0" fontId="0" fillId="0" borderId="57" applyProtection="1" pivotButton="0" quotePrefix="0" xfId="0">
      <protection locked="1" hidden="1"/>
    </xf>
    <xf numFmtId="0" fontId="20" fillId="0" borderId="0" applyAlignment="1" applyProtection="1" pivotButton="0" quotePrefix="0" xfId="1">
      <alignment horizontal="center" vertical="center"/>
      <protection locked="1" hidden="1"/>
    </xf>
    <xf numFmtId="0" fontId="23" fillId="27" borderId="5" applyAlignment="1" applyProtection="1" pivotButton="0" quotePrefix="0" xfId="0">
      <alignment horizontal="center" vertical="center"/>
      <protection locked="1" hidden="1"/>
    </xf>
    <xf numFmtId="0" fontId="13" fillId="6" borderId="0" applyAlignment="1" applyProtection="1" pivotButton="0" quotePrefix="0" xfId="0">
      <alignment horizontal="center" vertical="center"/>
      <protection locked="0" hidden="1"/>
    </xf>
    <xf numFmtId="0" fontId="33" fillId="0" borderId="43" applyAlignment="1" applyProtection="1" pivotButton="0" quotePrefix="0" xfId="0">
      <alignment horizontal="center" vertical="center"/>
      <protection locked="1" hidden="1"/>
    </xf>
    <xf numFmtId="0" fontId="41" fillId="0" borderId="0" applyAlignment="1" applyProtection="1" pivotButton="0" quotePrefix="0" xfId="1">
      <alignment horizontal="center" vertical="center"/>
      <protection locked="1" hidden="1"/>
    </xf>
    <xf numFmtId="0" fontId="33" fillId="0" borderId="45" applyAlignment="1" applyProtection="1" pivotButton="0" quotePrefix="0" xfId="0">
      <alignment horizontal="center" vertical="center"/>
      <protection locked="1" hidden="1"/>
    </xf>
    <xf numFmtId="0" fontId="16" fillId="0" borderId="88" applyAlignment="1" applyProtection="1" pivotButton="0" quotePrefix="0" xfId="0">
      <alignment horizontal="left" vertical="center"/>
      <protection locked="1" hidden="1"/>
    </xf>
    <xf numFmtId="0" fontId="16" fillId="27" borderId="90" applyAlignment="1" applyProtection="1" pivotButton="0" quotePrefix="0" xfId="0">
      <alignment horizontal="left" vertical="center"/>
      <protection locked="1" hidden="1"/>
    </xf>
    <xf numFmtId="0" fontId="0" fillId="0" borderId="58" applyProtection="1" pivotButton="0" quotePrefix="0" xfId="0">
      <protection locked="1" hidden="1"/>
    </xf>
    <xf numFmtId="0" fontId="64" fillId="0" borderId="0" applyAlignment="1" applyProtection="1" pivotButton="0" quotePrefix="0" xfId="1">
      <alignment horizontal="center" vertical="center"/>
      <protection locked="0" hidden="1"/>
    </xf>
    <xf numFmtId="0" fontId="29" fillId="0" borderId="97" applyAlignment="1" applyProtection="1" pivotButton="0" quotePrefix="0" xfId="0">
      <alignment horizontal="left"/>
      <protection locked="0" hidden="1"/>
    </xf>
    <xf numFmtId="0" fontId="0" fillId="0" borderId="32" applyProtection="1" pivotButton="0" quotePrefix="0" xfId="0">
      <protection locked="0" hidden="1"/>
    </xf>
    <xf numFmtId="0" fontId="1" fillId="0" borderId="25" applyAlignment="1" applyProtection="1" pivotButton="0" quotePrefix="0" xfId="0">
      <alignment horizontal="left" vertical="center"/>
      <protection locked="0" hidden="1"/>
    </xf>
    <xf numFmtId="0" fontId="11" fillId="35" borderId="25" applyAlignment="1" applyProtection="1" pivotButton="0" quotePrefix="0" xfId="0">
      <alignment horizontal="center" vertical="center"/>
      <protection locked="0" hidden="1"/>
    </xf>
    <xf numFmtId="0" fontId="13" fillId="0" borderId="1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/>
      <protection locked="0" hidden="1"/>
    </xf>
    <xf numFmtId="0" fontId="1" fillId="42" borderId="88" applyAlignment="1" applyProtection="1" pivotButton="0" quotePrefix="0" xfId="0">
      <alignment horizontal="center" vertical="center"/>
      <protection locked="0" hidden="1"/>
    </xf>
    <xf numFmtId="0" fontId="10" fillId="35" borderId="95" applyAlignment="1" applyProtection="1" pivotButton="0" quotePrefix="0" xfId="0">
      <alignment horizontal="center" vertical="center"/>
      <protection locked="0" hidden="1"/>
    </xf>
    <xf numFmtId="0" fontId="0" fillId="0" borderId="28" applyProtection="1" pivotButton="0" quotePrefix="0" xfId="0">
      <protection locked="0" hidden="1"/>
    </xf>
    <xf numFmtId="0" fontId="1" fillId="12" borderId="25" applyAlignment="1" applyProtection="1" pivotButton="0" quotePrefix="0" xfId="0">
      <alignment horizontal="left" vertical="center"/>
      <protection locked="0" hidden="1"/>
    </xf>
    <xf numFmtId="0" fontId="12" fillId="12" borderId="45" applyAlignment="1" applyProtection="1" pivotButton="0" quotePrefix="0" xfId="0">
      <alignment horizontal="left" vertical="center"/>
      <protection locked="0" hidden="1"/>
    </xf>
    <xf numFmtId="0" fontId="0" fillId="0" borderId="27" applyProtection="1" pivotButton="0" quotePrefix="0" xfId="0">
      <protection locked="0" hidden="1"/>
    </xf>
    <xf numFmtId="0" fontId="29" fillId="0" borderId="42" applyAlignment="1" applyProtection="1" pivotButton="0" quotePrefix="0" xfId="0">
      <alignment horizontal="center"/>
      <protection locked="0" hidden="1"/>
    </xf>
    <xf numFmtId="0" fontId="0" fillId="35" borderId="88" applyAlignment="1" applyProtection="1" pivotButton="0" quotePrefix="0" xfId="0">
      <alignment horizontal="center" vertical="center"/>
      <protection locked="0" hidden="1"/>
    </xf>
    <xf numFmtId="0" fontId="0" fillId="12" borderId="25" applyAlignment="1" applyProtection="1" pivotButton="0" quotePrefix="0" xfId="0">
      <alignment horizontal="left" vertical="center"/>
      <protection locked="0" hidden="1"/>
    </xf>
    <xf numFmtId="0" fontId="1" fillId="35" borderId="88" applyAlignment="1" applyProtection="1" pivotButton="0" quotePrefix="0" xfId="0">
      <alignment horizontal="center" vertical="center"/>
      <protection locked="0" hidden="1"/>
    </xf>
    <xf numFmtId="14" fontId="12" fillId="0" borderId="39" applyAlignment="1" applyProtection="1" pivotButton="0" quotePrefix="0" xfId="0">
      <alignment horizontal="center"/>
      <protection locked="1" hidden="1"/>
    </xf>
    <xf numFmtId="0" fontId="0" fillId="0" borderId="39" applyProtection="1" pivotButton="0" quotePrefix="0" xfId="0">
      <protection locked="1" hidden="1"/>
    </xf>
    <xf numFmtId="0" fontId="29" fillId="0" borderId="96" applyAlignment="1" applyProtection="1" pivotButton="0" quotePrefix="0" xfId="0">
      <alignment horizontal="left"/>
      <protection locked="0" hidden="1"/>
    </xf>
    <xf numFmtId="0" fontId="0" fillId="0" borderId="46" applyProtection="1" pivotButton="0" quotePrefix="0" xfId="0">
      <protection locked="0" hidden="1"/>
    </xf>
    <xf numFmtId="14" fontId="12" fillId="0" borderId="8" applyAlignment="1" applyProtection="1" pivotButton="0" quotePrefix="0" xfId="0">
      <alignment horizontal="center"/>
      <protection locked="1" hidden="1"/>
    </xf>
    <xf numFmtId="0" fontId="29" fillId="0" borderId="14" applyAlignment="1" applyProtection="1" pivotButton="0" quotePrefix="0" xfId="0">
      <alignment horizontal="center"/>
      <protection locked="0" hidden="1"/>
    </xf>
    <xf numFmtId="0" fontId="0" fillId="0" borderId="15" applyProtection="1" pivotButton="0" quotePrefix="0" xfId="0">
      <protection locked="0" hidden="1"/>
    </xf>
    <xf numFmtId="0" fontId="11" fillId="35" borderId="95" applyAlignment="1" applyProtection="1" pivotButton="0" quotePrefix="0" xfId="0">
      <alignment horizontal="center" vertical="center"/>
      <protection locked="0" hidden="1"/>
    </xf>
    <xf numFmtId="0" fontId="12" fillId="0" borderId="28" applyAlignment="1" applyProtection="1" pivotButton="0" quotePrefix="0" xfId="0">
      <alignment horizontal="center"/>
      <protection locked="0" hidden="1"/>
    </xf>
    <xf numFmtId="0" fontId="9" fillId="12" borderId="45" applyAlignment="1" applyProtection="1" pivotButton="0" quotePrefix="0" xfId="0">
      <alignment horizontal="center" vertical="center"/>
      <protection locked="0" hidden="1"/>
    </xf>
    <xf numFmtId="0" fontId="16" fillId="0" borderId="0" applyAlignment="1" applyProtection="1" pivotButton="0" quotePrefix="0" xfId="0">
      <alignment horizontal="center" vertical="center"/>
      <protection locked="0" hidden="1"/>
    </xf>
    <xf numFmtId="0" fontId="10" fillId="0" borderId="12" applyAlignment="1" applyProtection="1" pivotButton="0" quotePrefix="0" xfId="0">
      <alignment horizontal="center" vertical="center"/>
      <protection locked="1" hidden="1"/>
    </xf>
    <xf numFmtId="0" fontId="63" fillId="0" borderId="0" applyAlignment="1" applyProtection="1" pivotButton="0" quotePrefix="0" xfId="1">
      <alignment horizontal="center" vertical="center"/>
      <protection locked="1" hidden="1"/>
    </xf>
    <xf numFmtId="0" fontId="16" fillId="29" borderId="0" applyAlignment="1" applyProtection="1" pivotButton="0" quotePrefix="0" xfId="0">
      <alignment horizontal="center" vertical="center"/>
      <protection locked="0" hidden="1"/>
    </xf>
    <xf numFmtId="0" fontId="12" fillId="0" borderId="5" applyAlignment="1" applyProtection="1" pivotButton="0" quotePrefix="0" xfId="0">
      <alignment horizontal="center"/>
      <protection locked="1" hidden="1"/>
    </xf>
    <xf numFmtId="14" fontId="0" fillId="0" borderId="27" applyAlignment="1" applyProtection="1" pivotButton="0" quotePrefix="0" xfId="0">
      <alignment horizontal="center"/>
      <protection locked="1" hidden="1"/>
    </xf>
    <xf numFmtId="0" fontId="23" fillId="0" borderId="0" applyAlignment="1" applyProtection="1" pivotButton="0" quotePrefix="0" xfId="0">
      <alignment horizontal="right"/>
      <protection locked="1" hidden="1"/>
    </xf>
    <xf numFmtId="168" fontId="12" fillId="0" borderId="5" applyAlignment="1" applyProtection="1" pivotButton="0" quotePrefix="0" xfId="2">
      <alignment horizontal="center"/>
      <protection locked="1" hidden="1"/>
    </xf>
    <xf numFmtId="0" fontId="23" fillId="0" borderId="73" applyAlignment="1" applyProtection="1" pivotButton="0" quotePrefix="0" xfId="0">
      <alignment horizontal="center" vertical="center"/>
      <protection locked="1" hidden="1"/>
    </xf>
    <xf numFmtId="0" fontId="0" fillId="0" borderId="23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12" fillId="13" borderId="5" applyAlignment="1" applyProtection="1" pivotButton="0" quotePrefix="0" xfId="0">
      <alignment horizontal="center" vertical="center"/>
      <protection locked="0" hidden="1"/>
    </xf>
    <xf numFmtId="0" fontId="12" fillId="15" borderId="4" applyAlignment="1" applyProtection="1" pivotButton="0" quotePrefix="0" xfId="0">
      <alignment horizontal="center" vertical="top"/>
      <protection locked="0" hidden="1"/>
    </xf>
    <xf numFmtId="166" fontId="0" fillId="0" borderId="5" applyAlignment="1" applyProtection="1" pivotButton="0" quotePrefix="0" xfId="0">
      <alignment horizontal="center"/>
      <protection locked="1" hidden="1"/>
    </xf>
    <xf numFmtId="166" fontId="12" fillId="0" borderId="44" applyAlignment="1" applyProtection="1" pivotButton="0" quotePrefix="0" xfId="0">
      <alignment horizontal="center" vertical="center"/>
      <protection locked="1" hidden="1"/>
    </xf>
    <xf numFmtId="9" fontId="12" fillId="0" borderId="44" applyAlignment="1" applyProtection="1" pivotButton="0" quotePrefix="0" xfId="2">
      <alignment horizontal="center" vertical="center"/>
      <protection locked="1" hidden="1"/>
    </xf>
    <xf numFmtId="0" fontId="12" fillId="0" borderId="33" applyAlignment="1" applyProtection="1" pivotButton="0" quotePrefix="0" xfId="0">
      <alignment horizontal="center" vertical="center"/>
      <protection locked="1" hidden="1"/>
    </xf>
    <xf numFmtId="14" fontId="0" fillId="0" borderId="28" applyAlignment="1" applyProtection="1" pivotButton="0" quotePrefix="0" xfId="0">
      <alignment horizontal="center"/>
      <protection locked="1" hidden="1"/>
    </xf>
    <xf numFmtId="0" fontId="12" fillId="15" borderId="5" applyAlignment="1" applyProtection="1" pivotButton="0" quotePrefix="0" xfId="0">
      <alignment horizontal="center" vertical="top"/>
      <protection locked="0" hidden="1"/>
    </xf>
    <xf numFmtId="0" fontId="0" fillId="0" borderId="10" applyProtection="1" pivotButton="0" quotePrefix="0" xfId="0">
      <protection locked="0" hidden="1"/>
    </xf>
    <xf numFmtId="0" fontId="1" fillId="16" borderId="5" applyAlignment="1" applyProtection="1" pivotButton="0" quotePrefix="0" xfId="0">
      <alignment horizontal="center"/>
      <protection locked="0" hidden="1"/>
    </xf>
    <xf numFmtId="0" fontId="25" fillId="14" borderId="15" applyAlignment="1" applyProtection="1" pivotButton="0" quotePrefix="0" xfId="0">
      <alignment horizontal="center"/>
      <protection locked="0" hidden="1"/>
    </xf>
    <xf numFmtId="0" fontId="1" fillId="0" borderId="33" applyAlignment="1" applyProtection="1" pivotButton="0" quotePrefix="0" xfId="0">
      <alignment horizontal="center" vertical="center"/>
      <protection locked="1" hidden="1"/>
    </xf>
    <xf numFmtId="0" fontId="26" fillId="0" borderId="2" applyAlignment="1" applyProtection="1" pivotButton="0" quotePrefix="0" xfId="0">
      <alignment horizontal="center"/>
      <protection locked="1" hidden="1"/>
    </xf>
    <xf numFmtId="14" fontId="0" fillId="0" borderId="26" applyAlignment="1" applyProtection="1" pivotButton="0" quotePrefix="0" xfId="0">
      <alignment horizontal="center"/>
      <protection locked="1" hidden="1"/>
    </xf>
    <xf numFmtId="0" fontId="0" fillId="0" borderId="5" applyAlignment="1" applyProtection="1" pivotButton="0" quotePrefix="0" xfId="0">
      <alignment horizontal="center"/>
      <protection locked="0" hidden="1"/>
    </xf>
    <xf numFmtId="166" fontId="0" fillId="3" borderId="5" applyAlignment="1" applyProtection="1" pivotButton="0" quotePrefix="0" xfId="0">
      <alignment horizontal="center" vertical="center"/>
      <protection locked="1" hidden="1"/>
    </xf>
    <xf numFmtId="0" fontId="0" fillId="0" borderId="47" applyProtection="1" pivotButton="0" quotePrefix="0" xfId="0">
      <protection locked="1" hidden="1"/>
    </xf>
    <xf numFmtId="0" fontId="57" fillId="43" borderId="15" applyAlignment="1" applyProtection="1" pivotButton="0" quotePrefix="0" xfId="0">
      <alignment horizontal="center"/>
      <protection locked="0" hidden="1"/>
    </xf>
    <xf numFmtId="0" fontId="11" fillId="0" borderId="73" applyAlignment="1" applyProtection="1" pivotButton="0" quotePrefix="0" xfId="0">
      <alignment horizontal="center" vertical="center"/>
      <protection locked="1" hidden="1"/>
    </xf>
    <xf numFmtId="14" fontId="0" fillId="0" borderId="29" applyAlignment="1" applyProtection="1" pivotButton="0" quotePrefix="0" xfId="0">
      <alignment horizontal="center"/>
      <protection locked="1" hidden="1"/>
    </xf>
    <xf numFmtId="166" fontId="2" fillId="0" borderId="5" applyAlignment="1" applyProtection="1" pivotButton="0" quotePrefix="0" xfId="0">
      <alignment horizontal="center" vertical="center"/>
      <protection locked="1" hidden="1"/>
    </xf>
    <xf numFmtId="0" fontId="7" fillId="0" borderId="0" applyAlignment="1" applyProtection="1" pivotButton="0" quotePrefix="0" xfId="0">
      <alignment horizontal="center"/>
      <protection locked="0" hidden="1"/>
    </xf>
    <xf numFmtId="0" fontId="12" fillId="17" borderId="5" applyAlignment="1" applyProtection="1" pivotButton="0" quotePrefix="0" xfId="0">
      <alignment horizontal="center" vertical="center"/>
      <protection locked="0" hidden="1"/>
    </xf>
    <xf numFmtId="0" fontId="5" fillId="0" borderId="1" applyAlignment="1" applyProtection="1" pivotButton="0" quotePrefix="0" xfId="0">
      <alignment horizontal="center"/>
      <protection locked="1" hidden="1"/>
    </xf>
    <xf numFmtId="0" fontId="7" fillId="0" borderId="1" applyAlignment="1" applyProtection="1" pivotButton="0" quotePrefix="0" xfId="0">
      <alignment horizontal="center"/>
      <protection locked="0" hidden="1"/>
    </xf>
    <xf numFmtId="0" fontId="9" fillId="0" borderId="5" applyAlignment="1" applyProtection="1" pivotButton="0" quotePrefix="0" xfId="0">
      <alignment horizontal="center" vertical="center"/>
      <protection locked="1" hidden="1"/>
    </xf>
    <xf numFmtId="14" fontId="12" fillId="0" borderId="0" applyAlignment="1" applyProtection="1" pivotButton="0" quotePrefix="0" xfId="0">
      <alignment horizontal="center"/>
      <protection locked="1" hidden="1"/>
    </xf>
    <xf numFmtId="0" fontId="9" fillId="0" borderId="5" applyAlignment="1" applyProtection="1" pivotButton="0" quotePrefix="0" xfId="0">
      <alignment horizontal="center" vertical="center"/>
      <protection locked="0" hidden="1"/>
    </xf>
    <xf numFmtId="0" fontId="3" fillId="0" borderId="1" applyAlignment="1" applyProtection="1" pivotButton="0" quotePrefix="0" xfId="0">
      <alignment horizontal="center"/>
      <protection locked="1" hidden="1"/>
    </xf>
    <xf numFmtId="0" fontId="2" fillId="0" borderId="5" applyAlignment="1" applyProtection="1" pivotButton="0" quotePrefix="0" xfId="0">
      <alignment horizontal="center" vertical="center"/>
      <protection locked="1" hidden="1"/>
    </xf>
    <xf numFmtId="0" fontId="9" fillId="0" borderId="6" applyAlignment="1" applyProtection="1" pivotButton="0" quotePrefix="0" xfId="0">
      <alignment horizontal="center" vertical="center"/>
      <protection locked="1" hidden="1"/>
    </xf>
    <xf numFmtId="0" fontId="63" fillId="0" borderId="0" applyAlignment="1" applyProtection="1" pivotButton="0" quotePrefix="0" xfId="1">
      <alignment horizontal="center" vertical="center"/>
      <protection locked="0" hidden="1"/>
    </xf>
    <xf numFmtId="0" fontId="11" fillId="0" borderId="0" applyAlignment="1" applyProtection="1" pivotButton="0" quotePrefix="0" xfId="0">
      <alignment horizontal="center" vertical="center"/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12" fillId="0" borderId="0" applyAlignment="1" applyProtection="1" pivotButton="0" quotePrefix="0" xfId="0">
      <alignment horizontal="center"/>
      <protection locked="1" hidden="1"/>
    </xf>
    <xf numFmtId="0" fontId="23" fillId="0" borderId="0" applyAlignment="1" applyProtection="1" pivotButton="0" quotePrefix="0" xfId="0">
      <alignment horizontal="center"/>
      <protection locked="1" hidden="1"/>
    </xf>
    <xf numFmtId="2" fontId="3" fillId="0" borderId="17" applyAlignment="1" applyProtection="1" pivotButton="0" quotePrefix="0" xfId="0">
      <alignment horizontal="center"/>
      <protection locked="1" hidden="1"/>
    </xf>
    <xf numFmtId="0" fontId="0" fillId="0" borderId="17" applyProtection="1" pivotButton="0" quotePrefix="0" xfId="0">
      <protection locked="1" hidden="1"/>
    </xf>
    <xf numFmtId="0" fontId="1" fillId="0" borderId="0" applyAlignment="1" applyProtection="1" pivotButton="0" quotePrefix="0" xfId="0">
      <alignment horizontal="center" vertic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2" fillId="0" borderId="1" applyAlignment="1" applyProtection="1" pivotButton="0" quotePrefix="0" xfId="0">
      <alignment horizontal="center"/>
      <protection locked="1" hidden="1"/>
    </xf>
    <xf numFmtId="0" fontId="7" fillId="0" borderId="1" applyAlignment="1" applyProtection="1" pivotButton="0" quotePrefix="0" xfId="0">
      <alignment horizontal="center"/>
      <protection locked="1" hidden="1"/>
    </xf>
    <xf numFmtId="0" fontId="3" fillId="0" borderId="0" applyAlignment="1" applyProtection="1" pivotButton="0" quotePrefix="0" xfId="0">
      <alignment horizontal="center"/>
      <protection locked="1" hidden="1"/>
    </xf>
    <xf numFmtId="0" fontId="7" fillId="0" borderId="0" applyAlignment="1" applyProtection="1" pivotButton="0" quotePrefix="0" xfId="0">
      <alignment horizontal="center"/>
      <protection locked="1" hidden="1"/>
    </xf>
    <xf numFmtId="0" fontId="29" fillId="0" borderId="97" applyAlignment="1" applyProtection="1" pivotButton="0" quotePrefix="0" xfId="0">
      <alignment horizontal="left"/>
      <protection locked="1" hidden="1"/>
    </xf>
    <xf numFmtId="0" fontId="12" fillId="0" borderId="25" applyAlignment="1" applyProtection="1" pivotButton="0" quotePrefix="0" xfId="0">
      <alignment horizontal="left" vertical="center"/>
      <protection locked="0" hidden="1"/>
    </xf>
    <xf numFmtId="0" fontId="1" fillId="12" borderId="88" applyAlignment="1" applyProtection="1" pivotButton="0" quotePrefix="0" xfId="0">
      <alignment horizontal="left" vertical="center"/>
      <protection locked="0" hidden="1"/>
    </xf>
    <xf numFmtId="0" fontId="0" fillId="0" borderId="25" applyAlignment="1" applyProtection="1" pivotButton="0" quotePrefix="0" xfId="0">
      <alignment horizontal="left" vertical="center"/>
      <protection locked="0" hidden="1"/>
    </xf>
    <xf numFmtId="0" fontId="0" fillId="12" borderId="88" applyAlignment="1" applyProtection="1" pivotButton="0" quotePrefix="0" xfId="0">
      <alignment horizontal="left" vertical="center"/>
      <protection locked="0" hidden="1"/>
    </xf>
    <xf numFmtId="0" fontId="29" fillId="0" borderId="96" applyAlignment="1" applyProtection="1" pivotButton="0" quotePrefix="0" xfId="0">
      <alignment horizontal="left"/>
      <protection locked="1" hidden="1"/>
    </xf>
    <xf numFmtId="0" fontId="0" fillId="0" borderId="46" applyProtection="1" pivotButton="0" quotePrefix="0" xfId="0">
      <protection locked="1" hidden="1"/>
    </xf>
    <xf numFmtId="167" fontId="37" fillId="5" borderId="5" applyAlignment="1" applyProtection="1" pivotButton="0" quotePrefix="0" xfId="0">
      <alignment horizontal="center" vertical="center"/>
      <protection locked="1" hidden="1"/>
    </xf>
    <xf numFmtId="0" fontId="65" fillId="0" borderId="0" applyAlignment="1" applyProtection="1" pivotButton="0" quotePrefix="0" xfId="1">
      <alignment horizontal="center" vertical="center"/>
      <protection locked="0" hidden="1"/>
    </xf>
    <xf numFmtId="0" fontId="39" fillId="30" borderId="5" applyAlignment="1" applyProtection="1" pivotButton="0" quotePrefix="0" xfId="0">
      <alignment horizontal="center" vertical="center"/>
      <protection locked="0" hidden="1"/>
    </xf>
    <xf numFmtId="0" fontId="10" fillId="3" borderId="5" applyAlignment="1" applyProtection="1" pivotButton="0" quotePrefix="0" xfId="0">
      <alignment horizontal="center" vertical="center"/>
      <protection locked="0" hidden="1"/>
    </xf>
    <xf numFmtId="0" fontId="0" fillId="0" borderId="2" applyAlignment="1" applyProtection="1" pivotButton="0" quotePrefix="0" xfId="0">
      <alignment horizontal="center"/>
      <protection locked="0" hidden="1"/>
    </xf>
    <xf numFmtId="0" fontId="29" fillId="0" borderId="99" applyAlignment="1" applyProtection="1" pivotButton="0" quotePrefix="0" xfId="0">
      <alignment horizontal="center"/>
      <protection locked="0" hidden="1"/>
    </xf>
    <xf numFmtId="0" fontId="9" fillId="12" borderId="95" applyAlignment="1" applyProtection="1" pivotButton="0" quotePrefix="0" xfId="0">
      <alignment horizontal="center" vertical="center"/>
      <protection locked="0" hidden="1"/>
    </xf>
    <xf numFmtId="0" fontId="29" fillId="0" borderId="34" applyAlignment="1" applyProtection="1" pivotButton="0" quotePrefix="0" xfId="0">
      <alignment horizontal="left"/>
      <protection locked="1" hidden="1"/>
    </xf>
    <xf numFmtId="0" fontId="29" fillId="0" borderId="98" applyAlignment="1" applyProtection="1" pivotButton="0" quotePrefix="0" xfId="0">
      <alignment horizontal="center"/>
      <protection locked="0" hidden="1"/>
    </xf>
    <xf numFmtId="0" fontId="0" fillId="0" borderId="51" applyProtection="1" pivotButton="0" quotePrefix="0" xfId="0">
      <protection locked="0" hidden="1"/>
    </xf>
    <xf numFmtId="0" fontId="66" fillId="0" borderId="0" applyAlignment="1" applyProtection="1" pivotButton="0" quotePrefix="0" xfId="1">
      <alignment horizontal="center" vertical="center"/>
      <protection locked="0" hidden="1"/>
    </xf>
    <xf numFmtId="0" fontId="66" fillId="0" borderId="0" applyAlignment="1" applyProtection="1" pivotButton="0" quotePrefix="0" xfId="1">
      <alignment horizontal="center" vertical="center"/>
      <protection locked="1" hidden="1"/>
    </xf>
    <xf numFmtId="0" fontId="12" fillId="0" borderId="28" applyAlignment="1" applyProtection="1" pivotButton="0" quotePrefix="0" xfId="0">
      <alignment horizontal="center" vertical="center"/>
      <protection locked="0" hidden="1"/>
    </xf>
    <xf numFmtId="9" fontId="0" fillId="0" borderId="5" applyAlignment="1" applyProtection="1" pivotButton="0" quotePrefix="0" xfId="2">
      <alignment horizontal="center" vertical="center"/>
      <protection locked="1" hidden="1"/>
    </xf>
    <xf numFmtId="0" fontId="43" fillId="0" borderId="0" applyAlignment="1" applyProtection="1" pivotButton="0" quotePrefix="0" xfId="1">
      <alignment horizontal="center" vertical="center"/>
      <protection locked="1" hidden="1"/>
    </xf>
    <xf numFmtId="0" fontId="1" fillId="0" borderId="33" applyAlignment="1" applyProtection="1" pivotButton="0" quotePrefix="0" xfId="0">
      <alignment horizontal="center" vertical="center"/>
      <protection locked="0" hidden="1"/>
    </xf>
    <xf numFmtId="0" fontId="26" fillId="0" borderId="2" applyAlignment="1" applyProtection="1" pivotButton="0" quotePrefix="0" xfId="0">
      <alignment horizontal="center"/>
      <protection locked="0" hidden="1"/>
    </xf>
    <xf numFmtId="0" fontId="1" fillId="0" borderId="7" applyAlignment="1" applyProtection="1" pivotButton="0" quotePrefix="0" xfId="0">
      <alignment horizontal="center" vertical="center"/>
      <protection locked="0" hidden="1"/>
    </xf>
    <xf numFmtId="0" fontId="11" fillId="0" borderId="73" applyAlignment="1" applyProtection="1" pivotButton="0" quotePrefix="0" xfId="0">
      <alignment horizontal="center" vertical="center"/>
      <protection locked="0" hidden="1"/>
    </xf>
    <xf numFmtId="0" fontId="0" fillId="0" borderId="23" applyProtection="1" pivotButton="0" quotePrefix="0" xfId="0">
      <protection locked="0" hidden="1"/>
    </xf>
    <xf numFmtId="0" fontId="0" fillId="0" borderId="24" applyProtection="1" pivotButton="0" quotePrefix="0" xfId="0">
      <protection locked="0" hidden="1"/>
    </xf>
    <xf numFmtId="0" fontId="0" fillId="0" borderId="33" applyAlignment="1" applyProtection="1" pivotButton="0" quotePrefix="0" xfId="0">
      <alignment horizontal="center" vertical="center"/>
      <protection locked="0" hidden="1"/>
    </xf>
    <xf numFmtId="0" fontId="67" fillId="12" borderId="95" applyAlignment="1" applyProtection="1" pivotButton="0" quotePrefix="0" xfId="0">
      <alignment horizontal="center" vertical="center"/>
      <protection locked="0" hidden="1"/>
    </xf>
    <xf numFmtId="0" fontId="67" fillId="0" borderId="28" applyProtection="1" pivotButton="0" quotePrefix="0" xfId="0">
      <protection locked="0" hidden="1"/>
    </xf>
    <xf numFmtId="0" fontId="67" fillId="42" borderId="5" applyAlignment="1" applyProtection="1" pivotButton="0" quotePrefix="0" xfId="0">
      <alignment horizontal="center" vertical="center"/>
      <protection locked="1" hidden="1"/>
    </xf>
    <xf numFmtId="164" fontId="12" fillId="0" borderId="0" applyAlignment="1" applyProtection="1" pivotButton="0" quotePrefix="0" xfId="0">
      <alignment horizontal="center"/>
      <protection locked="1" hidden="1"/>
    </xf>
    <xf numFmtId="164" fontId="12" fillId="0" borderId="0" applyAlignment="1" applyProtection="1" pivotButton="0" quotePrefix="0" xfId="0">
      <alignment horizontal="center"/>
      <protection locked="0" hidden="1"/>
    </xf>
    <xf numFmtId="165" fontId="12" fillId="2" borderId="5" applyAlignment="1" applyProtection="1" pivotButton="0" quotePrefix="0" xfId="0">
      <alignment horizontal="center" vertical="center"/>
      <protection locked="0" hidden="1"/>
    </xf>
    <xf numFmtId="166" fontId="35" fillId="28" borderId="59" applyAlignment="1" applyProtection="1" pivotButton="0" quotePrefix="0" xfId="3">
      <alignment horizontal="center" vertical="center"/>
      <protection locked="1" hidden="1"/>
    </xf>
    <xf numFmtId="166" fontId="35" fillId="28" borderId="81" applyAlignment="1" applyProtection="1" pivotButton="0" quotePrefix="0" xfId="3">
      <alignment horizontal="center" vertical="center"/>
      <protection locked="1" hidden="1"/>
    </xf>
    <xf numFmtId="166" fontId="9" fillId="0" borderId="5" applyAlignment="1" applyProtection="1" pivotButton="0" quotePrefix="0" xfId="0">
      <alignment horizontal="center"/>
      <protection locked="1" hidden="1"/>
    </xf>
    <xf numFmtId="166" fontId="0" fillId="0" borderId="0" applyProtection="1" pivotButton="0" quotePrefix="0" xfId="0">
      <protection locked="1" hidden="1"/>
    </xf>
    <xf numFmtId="167" fontId="4" fillId="5" borderId="0" applyAlignment="1" applyProtection="1" pivotButton="0" quotePrefix="0" xfId="0">
      <alignment horizontal="center" vertical="center"/>
      <protection locked="1" hidden="1"/>
    </xf>
    <xf numFmtId="166" fontId="4" fillId="5" borderId="0" applyAlignment="1" applyProtection="1" pivotButton="0" quotePrefix="0" xfId="0">
      <alignment horizontal="center" vertical="center"/>
      <protection locked="1" hidden="1"/>
    </xf>
    <xf numFmtId="166" fontId="0" fillId="0" borderId="5" applyAlignment="1" applyProtection="1" pivotButton="0" quotePrefix="0" xfId="0">
      <alignment horizontal="center" vertical="center"/>
      <protection locked="1" hidden="1"/>
    </xf>
    <xf numFmtId="166" fontId="1" fillId="5" borderId="5" applyAlignment="1" applyProtection="1" pivotButton="0" quotePrefix="0" xfId="2">
      <alignment horizontal="center" vertical="center"/>
      <protection locked="1" hidden="1"/>
    </xf>
    <xf numFmtId="166" fontId="1" fillId="5" borderId="5" applyAlignment="1" applyProtection="1" pivotButton="0" quotePrefix="0" xfId="0">
      <alignment horizontal="center" vertical="center"/>
      <protection locked="1" hidden="1"/>
    </xf>
    <xf numFmtId="166" fontId="1" fillId="5" borderId="0" applyAlignment="1" applyProtection="1" pivotButton="0" quotePrefix="0" xfId="0">
      <alignment horizontal="center" vertical="center"/>
      <protection locked="1" hidden="1"/>
    </xf>
    <xf numFmtId="168" fontId="12" fillId="22" borderId="0" applyAlignment="1" applyProtection="1" pivotButton="0" quotePrefix="0" xfId="2">
      <alignment horizontal="center" vertical="center"/>
      <protection locked="0" hidden="1"/>
    </xf>
    <xf numFmtId="166" fontId="1" fillId="5" borderId="5" applyAlignment="1" applyProtection="1" pivotButton="0" quotePrefix="0" xfId="0">
      <alignment horizontal="center"/>
      <protection locked="1" hidden="1"/>
    </xf>
    <xf numFmtId="166" fontId="1" fillId="5" borderId="0" applyAlignment="1" applyProtection="1" pivotButton="0" quotePrefix="0" xfId="0">
      <alignment horizontal="center"/>
      <protection locked="1" hidden="1"/>
    </xf>
    <xf numFmtId="166" fontId="12" fillId="22" borderId="5" applyAlignment="1" applyProtection="1" pivotButton="0" quotePrefix="0" xfId="0">
      <alignment horizontal="center" vertical="center"/>
      <protection locked="1" hidden="1"/>
    </xf>
    <xf numFmtId="166" fontId="0" fillId="0" borderId="0" applyAlignment="1" applyProtection="1" pivotButton="0" quotePrefix="0" xfId="0">
      <alignment horizontal="center" vertical="center"/>
      <protection locked="1" hidden="1"/>
    </xf>
    <xf numFmtId="167" fontId="0" fillId="0" borderId="5" applyAlignment="1" applyProtection="1" pivotButton="0" quotePrefix="0" xfId="0">
      <alignment horizontal="center" vertical="center"/>
      <protection locked="1" hidden="1"/>
    </xf>
    <xf numFmtId="166" fontId="4" fillId="5" borderId="0" applyProtection="1" pivotButton="0" quotePrefix="0" xfId="0">
      <protection locked="1" hidden="1"/>
    </xf>
    <xf numFmtId="166" fontId="11" fillId="21" borderId="5" applyAlignment="1" applyProtection="1" pivotButton="0" quotePrefix="0" xfId="0">
      <alignment horizontal="center" vertical="center"/>
      <protection locked="1" hidden="1"/>
    </xf>
    <xf numFmtId="169" fontId="0" fillId="0" borderId="0" applyProtection="1" pivotButton="0" quotePrefix="0" xfId="0">
      <protection locked="0" hidden="1"/>
    </xf>
    <xf numFmtId="167" fontId="11" fillId="35" borderId="5" applyAlignment="1" applyProtection="1" pivotButton="0" quotePrefix="0" xfId="0">
      <alignment horizontal="center" vertical="center"/>
      <protection locked="1" hidden="1"/>
    </xf>
    <xf numFmtId="166" fontId="0" fillId="0" borderId="0" applyProtection="1" pivotButton="0" quotePrefix="0" xfId="0">
      <protection locked="0" hidden="1"/>
    </xf>
    <xf numFmtId="169" fontId="0" fillId="0" borderId="0" applyAlignment="1" applyProtection="1" pivotButton="0" quotePrefix="0" xfId="0">
      <alignment horizontal="center" vertical="center"/>
      <protection locked="1" hidden="1"/>
    </xf>
    <xf numFmtId="169" fontId="46" fillId="34" borderId="68" applyAlignment="1" applyProtection="1" pivotButton="0" quotePrefix="0" xfId="0">
      <alignment horizontal="center" vertical="center"/>
      <protection locked="1" hidden="1"/>
    </xf>
    <xf numFmtId="168" fontId="12" fillId="0" borderId="5" applyAlignment="1" applyProtection="1" pivotButton="0" quotePrefix="0" xfId="2">
      <alignment horizontal="center"/>
      <protection locked="1" hidden="1"/>
    </xf>
    <xf numFmtId="170" fontId="0" fillId="0" borderId="1" applyAlignment="1" applyProtection="1" pivotButton="0" quotePrefix="0" xfId="0">
      <alignment horizontal="center" vertical="center"/>
      <protection locked="0" hidden="1"/>
    </xf>
    <xf numFmtId="171" fontId="0" fillId="0" borderId="46" applyAlignment="1" applyProtection="1" pivotButton="0" quotePrefix="0" xfId="0">
      <alignment horizontal="center"/>
      <protection locked="0" hidden="1"/>
    </xf>
    <xf numFmtId="171" fontId="0" fillId="0" borderId="75" applyAlignment="1" applyProtection="1" pivotButton="0" quotePrefix="0" xfId="0">
      <alignment horizontal="center"/>
      <protection locked="0" hidden="1"/>
    </xf>
    <xf numFmtId="166" fontId="0" fillId="13" borderId="21" applyAlignment="1" applyProtection="1" pivotButton="0" quotePrefix="0" xfId="0">
      <alignment horizontal="center" vertical="center"/>
      <protection locked="1" hidden="1"/>
    </xf>
    <xf numFmtId="166" fontId="0" fillId="13" borderId="37" applyAlignment="1" applyProtection="1" pivotButton="0" quotePrefix="0" xfId="0">
      <alignment horizontal="center" vertical="center"/>
      <protection locked="0" hidden="1"/>
    </xf>
    <xf numFmtId="166" fontId="12" fillId="0" borderId="44" applyAlignment="1" applyProtection="1" pivotButton="0" quotePrefix="0" xfId="0">
      <alignment horizontal="center" vertical="center"/>
      <protection locked="1" hidden="1"/>
    </xf>
    <xf numFmtId="166" fontId="0" fillId="13" borderId="33" applyAlignment="1" applyProtection="1" pivotButton="0" quotePrefix="0" xfId="0">
      <alignment horizontal="center" vertical="center"/>
      <protection locked="1" hidden="1"/>
    </xf>
    <xf numFmtId="166" fontId="0" fillId="0" borderId="5" applyAlignment="1" applyProtection="1" pivotButton="0" quotePrefix="0" xfId="0">
      <alignment horizontal="center"/>
      <protection locked="1" hidden="1"/>
    </xf>
    <xf numFmtId="166" fontId="0" fillId="3" borderId="5" applyAlignment="1" applyProtection="1" pivotButton="0" quotePrefix="0" xfId="0">
      <alignment horizontal="center" vertical="center"/>
      <protection locked="1" hidden="1"/>
    </xf>
    <xf numFmtId="172" fontId="0" fillId="23" borderId="5" applyAlignment="1" applyProtection="1" pivotButton="0" quotePrefix="0" xfId="0">
      <alignment horizontal="center" vertical="center"/>
      <protection locked="1" hidden="1"/>
    </xf>
    <xf numFmtId="166" fontId="0" fillId="23" borderId="5" applyAlignment="1" applyProtection="1" pivotButton="0" quotePrefix="0" xfId="0">
      <alignment horizontal="center" vertical="center"/>
      <protection locked="1" hidden="1"/>
    </xf>
    <xf numFmtId="166" fontId="45" fillId="23" borderId="5" applyAlignment="1" applyProtection="1" pivotButton="0" quotePrefix="0" xfId="0">
      <alignment horizontal="center" vertical="center"/>
      <protection locked="1" hidden="1"/>
    </xf>
    <xf numFmtId="166" fontId="0" fillId="23" borderId="9" applyAlignment="1" applyProtection="1" pivotButton="0" quotePrefix="0" xfId="0">
      <alignment horizontal="center" vertical="center"/>
      <protection locked="1" hidden="1"/>
    </xf>
    <xf numFmtId="166" fontId="2" fillId="0" borderId="5" applyAlignment="1" applyProtection="1" pivotButton="0" quotePrefix="0" xfId="0">
      <alignment horizontal="center" vertical="center"/>
      <protection locked="1" hidden="1"/>
    </xf>
    <xf numFmtId="166" fontId="0" fillId="14" borderId="5" applyProtection="1" pivotButton="0" quotePrefix="0" xfId="0">
      <protection locked="1" hidden="1"/>
    </xf>
    <xf numFmtId="170" fontId="1" fillId="0" borderId="0" applyAlignment="1" applyProtection="1" pivotButton="0" quotePrefix="0" xfId="0">
      <alignment horizontal="center" vertical="center"/>
      <protection locked="1" hidden="1"/>
    </xf>
    <xf numFmtId="169" fontId="46" fillId="39" borderId="68" applyAlignment="1" applyProtection="1" pivotButton="0" quotePrefix="0" xfId="0">
      <alignment horizontal="center" vertical="center"/>
      <protection locked="1" hidden="1"/>
    </xf>
    <xf numFmtId="169" fontId="0" fillId="0" borderId="5" applyAlignment="1" applyProtection="1" pivotButton="0" quotePrefix="0" xfId="0">
      <alignment horizontal="center" vertical="center"/>
      <protection locked="1" hidden="1"/>
    </xf>
    <xf numFmtId="169" fontId="46" fillId="39" borderId="71" applyAlignment="1" applyProtection="1" pivotButton="0" quotePrefix="0" xfId="0">
      <alignment horizontal="center" vertical="center"/>
      <protection locked="1" hidden="1"/>
    </xf>
    <xf numFmtId="169" fontId="0" fillId="12" borderId="44" applyAlignment="1" applyProtection="1" pivotButton="0" quotePrefix="0" xfId="0">
      <alignment horizontal="center" vertical="center"/>
      <protection locked="1" hidden="1"/>
    </xf>
    <xf numFmtId="169" fontId="0" fillId="0" borderId="0" applyProtection="1" pivotButton="0" quotePrefix="0" xfId="0">
      <protection locked="1" hidden="1"/>
    </xf>
    <xf numFmtId="169" fontId="0" fillId="0" borderId="0" applyAlignment="1" applyProtection="1" pivotButton="0" quotePrefix="0" xfId="0">
      <alignment vertical="center"/>
      <protection locked="1" hidden="1"/>
    </xf>
    <xf numFmtId="169" fontId="0" fillId="0" borderId="48" applyAlignment="1" applyProtection="1" pivotButton="0" quotePrefix="0" xfId="0">
      <alignment horizontal="center" vertical="center"/>
      <protection locked="1" hidden="1"/>
    </xf>
    <xf numFmtId="167" fontId="37" fillId="5" borderId="5" applyAlignment="1" applyProtection="1" pivotButton="0" quotePrefix="0" xfId="0">
      <alignment horizontal="center" vertical="center"/>
      <protection locked="1" hidden="1"/>
    </xf>
    <xf numFmtId="167" fontId="10" fillId="29" borderId="5" applyAlignment="1" applyProtection="1" pivotButton="0" quotePrefix="0" xfId="0">
      <alignment horizontal="center" vertical="center"/>
      <protection locked="1" hidden="1"/>
    </xf>
    <xf numFmtId="166" fontId="5" fillId="0" borderId="0" applyAlignment="1" applyProtection="1" pivotButton="0" quotePrefix="0" xfId="0">
      <alignment horizontal="center" vertical="center"/>
      <protection locked="0" hidden="1"/>
    </xf>
    <xf numFmtId="167" fontId="5" fillId="0" borderId="0" applyAlignment="1" applyProtection="1" pivotButton="0" quotePrefix="0" xfId="0">
      <alignment horizontal="center" vertical="center"/>
      <protection locked="1" hidden="1"/>
    </xf>
    <xf numFmtId="169" fontId="1" fillId="12" borderId="5" applyAlignment="1" applyProtection="1" pivotButton="0" quotePrefix="0" xfId="0">
      <alignment horizontal="center" vertical="center"/>
      <protection locked="1" hidden="1"/>
    </xf>
    <xf numFmtId="168" fontId="0" fillId="0" borderId="5" applyAlignment="1" applyProtection="1" pivotButton="0" quotePrefix="0" xfId="2">
      <alignment horizontal="center" vertical="center"/>
      <protection locked="1" hidden="1"/>
    </xf>
    <xf numFmtId="169" fontId="1" fillId="0" borderId="5" applyAlignment="1" applyProtection="1" pivotButton="0" quotePrefix="0" xfId="0">
      <alignment horizontal="center" vertical="center"/>
      <protection locked="0" hidden="1"/>
    </xf>
    <xf numFmtId="169" fontId="1" fillId="0" borderId="5" applyAlignment="1" applyProtection="1" pivotButton="0" quotePrefix="0" xfId="0">
      <alignment horizontal="center" vertical="center"/>
      <protection locked="1" hidden="1"/>
    </xf>
    <xf numFmtId="166" fontId="47" fillId="36" borderId="61" applyAlignment="1" applyProtection="1" pivotButton="0" quotePrefix="0" xfId="0">
      <alignment horizontal="center" vertical="center"/>
      <protection locked="1" hidden="1"/>
    </xf>
    <xf numFmtId="166" fontId="47" fillId="37" borderId="61" applyAlignment="1" applyProtection="1" pivotButton="0" quotePrefix="0" xfId="0">
      <alignment horizontal="center" vertical="center"/>
      <protection locked="1" hidden="1"/>
    </xf>
    <xf numFmtId="166" fontId="47" fillId="36" borderId="62" applyAlignment="1" applyProtection="1" pivotButton="0" quotePrefix="0" xfId="0">
      <alignment horizontal="center" vertical="center"/>
      <protection locked="1" hidden="1"/>
    </xf>
    <xf numFmtId="169" fontId="0" fillId="12" borderId="5" applyAlignment="1" applyProtection="1" pivotButton="0" quotePrefix="0" xfId="0">
      <alignment horizontal="center" vertical="center"/>
      <protection locked="1" hidden="1"/>
    </xf>
    <xf numFmtId="166" fontId="0" fillId="12" borderId="44" applyAlignment="1" applyProtection="1" pivotButton="0" quotePrefix="0" xfId="0">
      <alignment horizontal="center" vertical="center"/>
      <protection locked="1" hidden="1"/>
    </xf>
    <xf numFmtId="170" fontId="0" fillId="0" borderId="1" applyAlignment="1" applyProtection="1" pivotButton="0" quotePrefix="0" xfId="0">
      <alignment horizontal="center" vertical="center"/>
      <protection locked="1" hidden="1"/>
    </xf>
    <xf numFmtId="171" fontId="0" fillId="0" borderId="4" applyAlignment="1" applyProtection="1" pivotButton="0" quotePrefix="0" xfId="0">
      <alignment horizontal="center" vertical="center"/>
      <protection locked="1" hidden="1"/>
    </xf>
    <xf numFmtId="171" fontId="0" fillId="0" borderId="44" applyAlignment="1" applyProtection="1" pivotButton="0" quotePrefix="0" xfId="0">
      <alignment horizontal="center" vertical="center"/>
      <protection locked="1" hidden="1"/>
    </xf>
    <xf numFmtId="166" fontId="0" fillId="13" borderId="7" applyAlignment="1" applyProtection="1" pivotButton="0" quotePrefix="0" xfId="0">
      <alignment horizontal="center" vertical="center"/>
      <protection locked="1" hidden="1"/>
    </xf>
    <xf numFmtId="166" fontId="0" fillId="0" borderId="35" applyAlignment="1" applyProtection="1" pivotButton="0" quotePrefix="0" xfId="0">
      <alignment horizontal="center" vertical="center"/>
      <protection locked="1" hidden="1"/>
    </xf>
    <xf numFmtId="166" fontId="0" fillId="0" borderId="7" applyAlignment="1" applyProtection="1" pivotButton="0" quotePrefix="0" xfId="0">
      <alignment horizontal="center" vertical="center"/>
      <protection locked="1" hidden="1"/>
    </xf>
    <xf numFmtId="166" fontId="0" fillId="13" borderId="37" applyAlignment="1" applyProtection="1" pivotButton="0" quotePrefix="0" xfId="0">
      <alignment horizontal="center" vertical="center"/>
      <protection locked="1" hidden="1"/>
    </xf>
    <xf numFmtId="166" fontId="12" fillId="0" borderId="5" applyAlignment="1" applyProtection="1" pivotButton="0" quotePrefix="0" xfId="0">
      <alignment horizontal="center" vertical="center"/>
      <protection locked="1" hidden="1"/>
    </xf>
    <xf numFmtId="166" fontId="12" fillId="0" borderId="5" applyAlignment="1" applyProtection="1" pivotButton="0" quotePrefix="0" xfId="0">
      <alignment horizontal="center" vertical="center"/>
      <protection locked="0" hidden="1"/>
    </xf>
    <xf numFmtId="166" fontId="12" fillId="0" borderId="5" applyAlignment="1" applyProtection="1" pivotButton="0" quotePrefix="0" xfId="0">
      <alignment vertical="center"/>
      <protection locked="0" hidden="1"/>
    </xf>
  </cellXfs>
  <cellStyles count="4">
    <cellStyle name="Normal" xfId="0" builtinId="0"/>
    <cellStyle name="Hyperlink" xfId="1" builtinId="8"/>
    <cellStyle name="Percent" xfId="2" builtinId="5"/>
    <cellStyle name="Calculation" xfId="3" builtinId="22"/>
  </cellStyles>
  <dxfs count="240">
    <dxf>
      <alignment horizontal="center" vertical="center"/>
      <protection locked="1" hidden="1"/>
    </dxf>
    <dxf>
      <numFmt numFmtId="166" formatCode="0.0000"/>
      <alignment horizontal="center" vertical="center"/>
      <protection locked="1" hidden="1"/>
    </dxf>
    <dxf>
      <numFmt numFmtId="166" formatCode="0.0000"/>
      <alignment horizontal="center" vertical="center"/>
      <protection locked="1" hidden="1"/>
    </dxf>
    <dxf>
      <numFmt numFmtId="166" formatCode="0.0000"/>
      <alignment horizontal="center" vertical="center"/>
      <protection locked="1" hidden="1"/>
    </dxf>
    <dxf>
      <alignment horizontal="center" vertical="center"/>
      <protection locked="1" hidden="1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protection locked="1" hidden="1"/>
    </dxf>
    <dxf>
      <protection locked="1" hidden="1"/>
    </dxf>
    <dxf>
      <numFmt numFmtId="0" formatCode="General"/>
      <alignment horizontal="center" vertical="center"/>
      <protection locked="1" hidden="1"/>
    </dxf>
    <dxf>
      <alignment horizontal="center" vertical="center"/>
      <protection locked="1" hidden="1"/>
    </dxf>
    <dxf>
      <numFmt numFmtId="0" formatCode="General"/>
      <alignment horizontal="center" vertical="center"/>
      <protection locked="1" hidden="1"/>
    </dxf>
    <dxf>
      <alignment horizontal="center" vertical="center"/>
      <protection locked="1" hidden="1"/>
    </dxf>
    <dxf>
      <numFmt numFmtId="0" formatCode="General"/>
      <alignment horizontal="center" vertical="center"/>
      <protection locked="1" hidden="1"/>
    </dxf>
    <dxf>
      <alignment horizontal="center" vertical="center"/>
      <protection locked="1" hidden="1"/>
    </dxf>
    <dxf>
      <alignment horizontal="center" vertical="center"/>
      <protection locked="0" hidden="1"/>
    </dxf>
    <dxf>
      <protection locked="1" hidden="1"/>
    </dxf>
    <dxf>
      <alignment horizontal="center" vertical="center"/>
      <protection locked="1" hidden="1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protection locked="1" hidden="1"/>
    </dxf>
    <dxf>
      <alignment horizontal="center" vertical="center"/>
      <protection locked="1" hidden="1"/>
    </dxf>
    <dxf>
      <numFmt numFmtId="0" formatCode="General"/>
      <alignment horizontal="center" vertical="center"/>
      <protection locked="1" hidden="1"/>
    </dxf>
    <dxf>
      <numFmt numFmtId="0" formatCode="General"/>
      <alignment horizontal="center" vertical="center"/>
      <protection locked="1" hidden="1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alignment horizontal="center" vertical="center"/>
      <protection locked="1" hidden="1"/>
    </dxf>
    <dxf>
      <alignment horizontal="center" vertical="center"/>
      <protection locked="1" hidden="1"/>
    </dxf>
    <dxf>
      <alignment horizontal="center" vertical="center"/>
      <protection locked="1" hidden="1"/>
    </dxf>
    <dxf>
      <alignment horizontal="center" vertical="center"/>
      <protection locked="1" hidden="1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protection locked="1" hidden="1"/>
    </dxf>
    <dxf>
      <alignment horizontal="center" vertical="center"/>
      <protection locked="1" hidden="1"/>
    </dxf>
    <dxf>
      <alignment horizontal="center" vertical="center"/>
      <protection locked="1" hidden="1"/>
    </dxf>
    <dxf>
      <numFmt numFmtId="166" formatCode="0.0000"/>
      <alignment horizontal="center" vertical="center"/>
      <protection locked="1" hidden="1"/>
    </dxf>
    <dxf>
      <numFmt numFmtId="166" formatCode="0.0000"/>
      <alignment horizontal="center" vertical="center"/>
      <protection locked="1" hidden="1"/>
    </dxf>
    <dxf>
      <alignment horizontal="center" vertical="center"/>
      <protection locked="1" hidden="1"/>
    </dxf>
    <dxf>
      <alignment horizontal="center" vertical="center"/>
      <protection locked="0" hidden="0"/>
    </dxf>
    <dxf>
      <font>
        <b val="1"/>
        <sz val="14"/>
      </font>
      <numFmt numFmtId="30" formatCode="@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protection locked="0" hidden="0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protection locked="1" hidden="1"/>
    </dxf>
    <dxf>
      <numFmt numFmtId="166" formatCode="0.0000"/>
      <alignment horizontal="center" vertical="center"/>
      <protection locked="1" hidden="1"/>
    </dxf>
    <dxf>
      <numFmt numFmtId="0" formatCode="General"/>
      <alignment horizontal="center" vertical="center"/>
      <protection locked="1" hidden="1"/>
    </dxf>
    <dxf>
      <alignment horizontal="center" vertical="center"/>
      <protection locked="0" hidden="0"/>
    </dxf>
    <dxf>
      <numFmt numFmtId="0" formatCode="General"/>
      <alignment horizontal="center" vertical="center"/>
      <protection locked="1" hidden="1"/>
    </dxf>
    <dxf>
      <alignment horizontal="center" vertical="center"/>
      <protection locked="0" hidden="0"/>
    </dxf>
    <dxf>
      <alignment horizontal="center" vertical="center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protection locked="0" hidden="0"/>
    </dxf>
    <dxf>
      <protection locked="0" hidden="0"/>
    </dxf>
    <dxf>
      <alignment horizontal="center" vertical="center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protection locked="0" hidden="0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font>
        <name val="Arial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0"/>
        </patternFill>
      </fill>
      <alignment horizontal="center" vertical="center"/>
      <protection locked="1" hidden="1"/>
    </dxf>
    <dxf>
      <numFmt numFmtId="166" formatCode="0.0000"/>
      <alignment horizontal="center" vertical="center"/>
      <protection locked="1" hidden="1"/>
    </dxf>
    <dxf>
      <numFmt numFmtId="0" formatCode="General"/>
      <alignment horizontal="center" vertical="center"/>
      <protection locked="1" hidden="1"/>
    </dxf>
    <dxf>
      <alignment horizontal="center" vertical="center"/>
      <protection locked="1" hidden="1"/>
    </dxf>
    <dxf>
      <numFmt numFmtId="0" formatCode="General"/>
      <alignment horizontal="center" vertical="center"/>
      <protection locked="1" hidden="1"/>
    </dxf>
    <dxf>
      <numFmt numFmtId="0" formatCode="General"/>
      <alignment horizontal="center" vertical="center"/>
      <border>
        <right style="thin">
          <color theme="0"/>
        </right>
      </border>
      <protection locked="1" hidden="1"/>
    </dxf>
    <dxf>
      <alignment horizontal="center" vertical="center"/>
      <border>
        <right style="thin">
          <color theme="0"/>
        </right>
      </border>
      <protection locked="1" hidden="1"/>
    </dxf>
    <dxf>
      <alignment horizontal="center" vertical="center"/>
      <protection locked="1" hidden="1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alignment horizontal="center" vertical="center"/>
      <protection locked="1" hidden="1"/>
    </dxf>
    <dxf>
      <border outline="0">
        <bottom style="thick">
          <color theme="0"/>
        </bottom>
      </border>
    </dxf>
    <dxf>
      <font>
        <name val="Arial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4"/>
          <bgColor theme="4"/>
        </patternFill>
      </fill>
      <alignment horizontal="center" vertical="center"/>
      <border>
        <left style="thin">
          <color theme="0"/>
        </left>
        <right style="thin">
          <color theme="0"/>
        </right>
        <top/>
        <bottom/>
      </border>
      <protection locked="0" hidden="1"/>
    </dxf>
    <dxf>
      <numFmt numFmtId="166" formatCode="0.0000"/>
      <protection locked="1" hidden="1"/>
    </dxf>
    <dxf>
      <numFmt numFmtId="0" formatCode="General"/>
      <protection locked="1" hidden="1"/>
    </dxf>
    <dxf>
      <protection locked="1" hidden="1"/>
    </dxf>
    <dxf>
      <numFmt numFmtId="0" formatCode="General"/>
      <protection locked="1" hidden="1"/>
    </dxf>
    <dxf>
      <numFmt numFmtId="0" formatCode="General"/>
      <border>
        <right style="thin">
          <color theme="0"/>
        </right>
      </border>
      <protection locked="1" hidden="1"/>
    </dxf>
    <dxf>
      <border>
        <right style="thin">
          <color theme="0"/>
        </right>
      </border>
      <protection locked="1" hidden="1"/>
    </dxf>
    <dxf>
      <protection locked="1" hidden="1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protection locked="1" hidden="1"/>
    </dxf>
    <dxf>
      <border outline="0">
        <bottom style="thick">
          <color theme="0"/>
        </bottom>
      </border>
    </dxf>
    <dxf>
      <font>
        <name val="Arial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4"/>
          <bgColor theme="4"/>
        </patternFill>
      </fill>
      <alignment horizontal="center" vertical="center"/>
      <border>
        <left style="thin">
          <color theme="0"/>
        </left>
        <right style="thin">
          <color theme="0"/>
        </right>
        <top/>
        <bottom/>
      </border>
      <protection locked="0" hidden="1"/>
    </dxf>
    <dxf>
      <font>
        <b val="1"/>
      </font>
      <alignment horizontal="center" vertical="center"/>
      <protection locked="1" hidden="1"/>
    </dxf>
    <dxf>
      <font>
        <b val="1"/>
      </font>
      <alignment horizontal="center" vertical="center"/>
      <protection locked="1" hidden="1"/>
    </dxf>
    <dxf>
      <font>
        <b val="1"/>
      </font>
      <alignment horizontal="center" vertical="center"/>
      <protection locked="1" hidden="1"/>
    </dxf>
    <dxf>
      <font>
        <b val="1"/>
      </font>
      <alignment horizontal="center" vertical="center"/>
      <protection locked="1" hidden="1"/>
    </dxf>
    <dxf>
      <font>
        <b val="1"/>
      </font>
      <alignment horizontal="center" vertical="center"/>
      <protection locked="1" hidden="1"/>
    </dxf>
    <dxf>
      <font>
        <b val="1"/>
      </font>
      <alignment horizontal="center" vertical="center"/>
      <protection locked="1" hidden="1"/>
    </dxf>
    <dxf>
      <font>
        <b val="1"/>
      </font>
      <alignment horizontal="center" vertical="center"/>
      <protection locked="1" hidden="1"/>
    </dxf>
    <dxf>
      <font>
        <b val="1"/>
      </font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protection locked="0" hidden="1"/>
    </dxf>
    <dxf>
      <font>
        <name val="Arial"/>
        <b val="1"/>
        <strike val="0"/>
        <outline val="0"/>
        <shadow val="0"/>
        <color theme="0"/>
        <sz val="12"/>
        <vertAlign val="baseline"/>
      </font>
      <numFmt numFmtId="171" formatCode="0.0"/>
      <fill>
        <patternFill patternType="solid">
          <fgColor theme="4" tint="0.7999816888943144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name val="Arial"/>
        <b val="1"/>
        <strike val="0"/>
        <outline val="0"/>
        <shadow val="0"/>
        <color theme="0"/>
        <sz val="12"/>
        <vertAlign val="baseline"/>
      </font>
      <numFmt numFmtId="171" formatCode="0.0"/>
      <fill>
        <patternFill patternType="solid">
          <fgColor theme="4" tint="0.7999816888943144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name val="Arial"/>
        <b val="1"/>
        <strike val="0"/>
        <outline val="0"/>
        <shadow val="0"/>
        <color theme="0"/>
        <sz val="12"/>
        <vertAlign val="baseline"/>
      </font>
      <numFmt numFmtId="171" formatCode="0.0"/>
      <fill>
        <patternFill patternType="solid">
          <fgColor theme="4" tint="0.7999816888943144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name val="Arial"/>
        <b val="1"/>
        <strike val="0"/>
        <outline val="0"/>
        <shadow val="0"/>
        <color theme="0"/>
        <sz val="12"/>
        <vertAlign val="baseline"/>
      </font>
      <numFmt numFmtId="171" formatCode="0.0"/>
      <fill>
        <patternFill patternType="solid">
          <fgColor theme="4" tint="0.7999816888943144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name val="Arial"/>
        <b val="1"/>
        <strike val="0"/>
        <outline val="0"/>
        <shadow val="0"/>
        <color theme="0"/>
        <sz val="12"/>
        <vertAlign val="baseline"/>
      </font>
      <numFmt numFmtId="171" formatCode="0.0"/>
      <fill>
        <patternFill patternType="solid">
          <fgColor theme="4" tint="0.7999816888943144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name val="Arial"/>
        <b val="1"/>
        <strike val="0"/>
        <outline val="0"/>
        <shadow val="0"/>
        <color theme="0"/>
        <sz val="12"/>
        <vertAlign val="baseline"/>
      </font>
      <numFmt numFmtId="171" formatCode="0.0"/>
      <fill>
        <patternFill patternType="solid">
          <fgColor theme="4" tint="0.7999816888943144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name val="Arial"/>
        <b val="1"/>
        <strike val="0"/>
        <outline val="0"/>
        <shadow val="0"/>
        <color theme="0"/>
        <sz val="12"/>
        <vertAlign val="baseline"/>
      </font>
      <numFmt numFmtId="171" formatCode="0.0"/>
      <fill>
        <patternFill patternType="solid">
          <fgColor theme="4" tint="0.7999816888943144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name val="Arial"/>
        <b val="1"/>
        <strike val="0"/>
        <outline val="0"/>
        <shadow val="0"/>
        <color theme="0"/>
        <sz val="12"/>
        <vertAlign val="baseline"/>
      </font>
      <numFmt numFmtId="171" formatCode="0.0"/>
      <fill>
        <patternFill patternType="solid">
          <fgColor theme="4" tint="0.7999816888943144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name val="Arial"/>
        <b val="1"/>
        <strike val="0"/>
        <outline val="0"/>
        <shadow val="0"/>
        <color theme="0"/>
        <sz val="12"/>
        <vertAlign val="baseline"/>
      </font>
      <numFmt numFmtId="171" formatCode="0.0"/>
      <fill>
        <patternFill patternType="solid">
          <fgColor theme="4" tint="0.7999816888943144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name val="Arial"/>
        <b val="1"/>
        <strike val="0"/>
        <outline val="0"/>
        <shadow val="0"/>
        <color theme="0"/>
        <sz val="12"/>
        <vertAlign val="baseline"/>
      </font>
      <numFmt numFmtId="171" formatCode="0.0"/>
      <fill>
        <patternFill patternType="solid">
          <fgColor theme="4" tint="0.7999816888943144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name val="Arial"/>
        <b val="1"/>
        <strike val="0"/>
        <outline val="0"/>
        <shadow val="0"/>
        <color theme="0"/>
        <sz val="12"/>
        <vertAlign val="baseline"/>
      </font>
      <numFmt numFmtId="171" formatCode="0.0"/>
      <fill>
        <patternFill patternType="solid">
          <fgColor theme="4" tint="0.7999816888943144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name val="Arial"/>
        <b val="1"/>
        <strike val="0"/>
        <outline val="0"/>
        <shadow val="0"/>
        <color theme="0"/>
        <sz val="12"/>
        <vertAlign val="baseline"/>
      </font>
      <numFmt numFmtId="171" formatCode="0.0"/>
      <fill>
        <patternFill patternType="solid">
          <fgColor theme="4" tint="0.7999816888943144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name val="Arial"/>
        <b val="1"/>
        <strike val="0"/>
        <outline val="0"/>
        <shadow val="0"/>
        <color theme="0"/>
        <sz val="12"/>
        <vertAlign val="baseline"/>
      </font>
      <numFmt numFmtId="171" formatCode="0.0"/>
      <fill>
        <patternFill patternType="solid">
          <fgColor theme="4" tint="0.7999816888943144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name val="Arial"/>
        <b val="1"/>
        <strike val="0"/>
        <outline val="0"/>
        <shadow val="0"/>
        <color theme="0"/>
        <sz val="12"/>
        <vertAlign val="baseline"/>
      </font>
      <numFmt numFmtId="171" formatCode="0.0"/>
      <fill>
        <patternFill patternType="solid">
          <fgColor theme="4" tint="0.7999816888943144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name val="Arial"/>
        <b val="1"/>
        <strike val="0"/>
        <outline val="0"/>
        <shadow val="0"/>
        <color theme="0"/>
        <sz val="12"/>
        <vertAlign val="baseline"/>
      </font>
      <numFmt numFmtId="171" formatCode="0.0"/>
      <fill>
        <patternFill patternType="solid">
          <fgColor theme="4" tint="0.7999816888943144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name val="Arial"/>
        <b val="1"/>
        <strike val="0"/>
        <outline val="0"/>
        <shadow val="0"/>
        <color theme="0"/>
        <sz val="12"/>
        <vertAlign val="baseline"/>
      </font>
      <numFmt numFmtId="171" formatCode="0.0"/>
      <fill>
        <patternFill patternType="solid">
          <fgColor theme="4" tint="0.7999816888943144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name val="Arial"/>
        <b val="1"/>
        <strike val="0"/>
        <outline val="0"/>
        <shadow val="0"/>
        <condense val="0"/>
        <color theme="0"/>
        <extend val="0"/>
        <sz val="12"/>
        <vertAlign val="baseline"/>
      </font>
      <numFmt numFmtId="171" formatCode="0.0"/>
      <fill>
        <patternFill patternType="solid">
          <fgColor theme="4" tint="0.5999938962981048"/>
          <bgColor theme="0"/>
        </patternFill>
      </fill>
      <alignment horizontal="center" vertical="center"/>
      <border>
        <left/>
        <right/>
        <top style="thin">
          <color theme="0"/>
        </top>
        <bottom style="thin">
          <color theme="0"/>
        </bottom>
      </border>
      <protection locked="1" hidden="1"/>
    </dxf>
    <dxf>
      <border>
        <top style="thin">
          <color theme="0"/>
        </top>
      </border>
    </dxf>
    <dxf>
      <border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name val="Arial"/>
        <strike val="0"/>
        <outline val="0"/>
        <shadow val="0"/>
        <color theme="0"/>
        <sz val="12"/>
        <vertAlign val="baseline"/>
      </font>
      <fill>
        <patternFill patternType="solid">
          <bgColor theme="0"/>
        </patternFill>
      </fill>
      <protection locked="1" hidden="1"/>
    </dxf>
    <dxf>
      <border>
        <bottom style="thin">
          <color theme="0"/>
        </bottom>
      </border>
    </dxf>
    <dxf>
      <font>
        <name val="Arial"/>
        <strike val="0"/>
        <outline val="0"/>
        <shadow val="0"/>
        <color theme="0"/>
        <sz val="12"/>
        <vertAlign val="baseline"/>
      </font>
      <fill>
        <patternFill patternType="solid">
          <bgColor theme="0"/>
        </patternFill>
      </fill>
      <protection locked="1" hidden="1"/>
    </dxf>
    <dxf>
      <font>
        <name val="Arial"/>
        <b val="1"/>
        <strike val="0"/>
        <outline val="0"/>
        <shadow val="0"/>
        <color auto="1"/>
        <sz val="11"/>
        <vertAlign val="baseline"/>
      </font>
      <numFmt numFmtId="0" formatCode="General"/>
      <alignment horizontal="center" vertical="center"/>
      <protection locked="1" hidden="1"/>
    </dxf>
    <dxf>
      <font>
        <name val="Arial"/>
        <b val="1"/>
        <strike val="0"/>
        <outline val="0"/>
        <shadow val="0"/>
        <color auto="1"/>
        <sz val="11"/>
        <vertAlign val="baseline"/>
      </font>
      <alignment horizontal="center" vertical="center"/>
      <protection locked="0" hidden="1"/>
    </dxf>
    <dxf>
      <font>
        <name val="Arial"/>
        <b val="1"/>
        <strike val="0"/>
        <outline val="0"/>
        <shadow val="0"/>
        <color auto="1"/>
        <sz val="11"/>
        <vertAlign val="baseline"/>
      </font>
      <alignment horizontal="center" vertical="center"/>
      <protection locked="0" hidden="1"/>
    </dxf>
    <dxf>
      <font>
        <name val="Arial"/>
        <b val="1"/>
        <strike val="0"/>
        <outline val="0"/>
        <shadow val="0"/>
        <color auto="1"/>
        <sz val="11"/>
        <vertAlign val="baseline"/>
      </font>
      <numFmt numFmtId="0" formatCode="General"/>
      <alignment horizontal="center" vertical="center"/>
      <protection locked="1" hidden="1"/>
    </dxf>
    <dxf>
      <font>
        <name val="Arial"/>
        <b val="1"/>
        <strike val="0"/>
        <outline val="0"/>
        <shadow val="0"/>
        <color auto="1"/>
        <sz val="11"/>
        <vertAlign val="baseline"/>
      </font>
      <alignment horizontal="center" vertical="center"/>
      <protection locked="0" hidden="1"/>
    </dxf>
    <dxf>
      <font>
        <name val="Arial"/>
        <b val="1"/>
        <strike val="0"/>
        <outline val="0"/>
        <shadow val="0"/>
        <color auto="1"/>
        <sz val="11"/>
        <vertAlign val="baseline"/>
      </font>
      <alignment horizontal="center" vertical="center"/>
      <protection locked="1" hidden="1"/>
    </dxf>
    <dxf>
      <font>
        <name val="Arial"/>
        <b val="1"/>
        <strike val="0"/>
        <outline val="0"/>
        <shadow val="0"/>
        <color auto="1"/>
        <sz val="11"/>
        <vertAlign val="baseline"/>
      </font>
      <numFmt numFmtId="19" formatCode="m/d/yyyy"/>
      <alignment horizontal="center" vertical="center"/>
      <protection locked="1" hidden="1"/>
    </dxf>
    <dxf>
      <font>
        <name val="Arial"/>
        <b val="1"/>
        <strike val="0"/>
        <outline val="0"/>
        <shadow val="0"/>
        <color auto="1"/>
        <sz val="11"/>
        <vertAlign val="baseline"/>
      </font>
      <alignment horizontal="center" vertical="center"/>
      <protection locked="0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alignment horizontal="center" vertical="center"/>
      <protection locked="0" hidden="1"/>
    </dxf>
    <dxf>
      <numFmt numFmtId="166" formatCode="0.0000"/>
      <protection locked="1" hidden="1"/>
    </dxf>
    <dxf>
      <numFmt numFmtId="0" formatCode="General"/>
      <protection locked="1" hidden="1"/>
    </dxf>
    <dxf>
      <protection locked="1" hidden="1"/>
    </dxf>
    <dxf>
      <numFmt numFmtId="166" formatCode="0.0000"/>
    </dxf>
    <dxf>
      <numFmt numFmtId="166" formatCode="0.0000"/>
    </dxf>
    <dxf>
      <numFmt numFmtId="0" formatCode="General"/>
      <protection locked="1" hidden="1"/>
    </dxf>
    <dxf>
      <numFmt numFmtId="0" formatCode="General"/>
      <border>
        <right style="thin">
          <color theme="0"/>
        </right>
      </border>
      <protection locked="1" hidden="1"/>
    </dxf>
    <dxf>
      <border>
        <right style="thin">
          <color theme="0"/>
        </right>
      </border>
      <protection locked="1" hidden="1"/>
    </dxf>
    <dxf>
      <protection locked="1" hidden="1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protection locked="1" hidden="1"/>
    </dxf>
    <dxf>
      <border outline="0">
        <bottom style="thick">
          <color theme="0"/>
        </bottom>
      </border>
    </dxf>
    <dxf>
      <font>
        <name val="Arial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4"/>
          <bgColor theme="4"/>
        </patternFill>
      </fill>
      <alignment horizontal="center" vertical="center"/>
      <border>
        <left style="thin">
          <color theme="0"/>
        </left>
        <right style="thin">
          <color theme="0"/>
        </right>
        <top/>
        <bottom/>
      </border>
      <protection locked="0" hidden="1"/>
    </dxf>
    <dxf>
      <font>
        <color rgb="FF9C0006"/>
      </font>
    </dxf>
    <dxf>
      <font>
        <color rgb="FF92D050"/>
      </font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Arial"/>
        <b val="1"/>
        <strike val="0"/>
        <outline val="0"/>
        <shadow val="0"/>
        <color auto="1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  <alignment horizontal="center" vertical="center"/>
      <protection locked="1" hidden="1"/>
    </dxf>
    <dxf>
      <fill>
        <patternFill>
          <fgColor indexed="64"/>
          <bgColor indexed="65"/>
        </patternFill>
      </fill>
      <alignment horizontal="center" vertical="center"/>
      <protection locked="1" hidden="1"/>
    </dxf>
    <dxf>
      <numFmt numFmtId="166" formatCode="0.0000"/>
      <protection locked="1" hidden="1"/>
    </dxf>
    <dxf>
      <numFmt numFmtId="0" formatCode="General"/>
      <protection locked="1" hidden="1"/>
    </dxf>
    <dxf>
      <protection locked="1" hidden="1"/>
    </dxf>
    <dxf>
      <numFmt numFmtId="166" formatCode="0.0000"/>
      <protection locked="1" hidden="1"/>
    </dxf>
    <dxf>
      <numFmt numFmtId="0" formatCode="General"/>
      <protection locked="1" hidden="1"/>
    </dxf>
    <dxf>
      <protection locked="1" hidden="1"/>
    </dxf>
    <dxf>
      <numFmt numFmtId="0" formatCode="General"/>
      <protection locked="1" hidden="1"/>
    </dxf>
    <dxf>
      <numFmt numFmtId="0" formatCode="General"/>
      <border>
        <right style="thin">
          <color theme="0"/>
        </right>
      </border>
      <protection locked="1" hidden="1"/>
    </dxf>
    <dxf>
      <border>
        <right style="thin">
          <color theme="0"/>
        </right>
      </border>
      <protection locked="1" hidden="1"/>
    </dxf>
    <dxf>
      <protection locked="1" hidden="1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protection locked="1" hidden="1"/>
    </dxf>
    <dxf>
      <border outline="0">
        <bottom style="thick">
          <color theme="0"/>
        </bottom>
      </border>
    </dxf>
    <dxf>
      <font>
        <name val="Arial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4"/>
          <bgColor theme="4"/>
        </patternFill>
      </fill>
      <alignment horizontal="center" vertical="center"/>
      <border>
        <left style="thin">
          <color theme="0"/>
        </left>
        <right style="thin">
          <color theme="0"/>
        </right>
        <top/>
        <bottom/>
      </border>
      <protection locked="0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Arial"/>
        <b val="1"/>
        <strike val="0"/>
        <outline val="0"/>
        <shadow val="0"/>
        <color auto="1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  <alignment horizontal="center" vertical="center"/>
      <protection locked="1" hidden="1"/>
    </dxf>
    <dxf>
      <fill>
        <patternFill>
          <fgColor indexed="64"/>
          <bgColor indexed="65"/>
        </patternFill>
      </fill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b val="1"/>
        <sz val="14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ont>
        <name val="Arial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Arial"/>
        <b val="1"/>
        <strike val="0"/>
        <outline val="0"/>
        <shadow val="0"/>
        <color auto="1"/>
        <sz val="14"/>
        <vertAlign val="baseline"/>
      </font>
      <fill>
        <patternFill>
          <fgColor indexed="64"/>
          <bgColor indexed="65"/>
        </patternFill>
      </fill>
      <alignment horizontal="center" vertical="center"/>
      <protection locked="1" hidden="1"/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  <alignment horizontal="center" vertical="center"/>
      <protection locked="1" hidden="1"/>
    </dxf>
    <dxf>
      <fill>
        <patternFill>
          <fgColor indexed="64"/>
          <bgColor indexed="65"/>
        </patternFill>
      </fill>
      <protection locked="1" hidden="1"/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Excess WAS (10 min scale)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gradFill>
                <a:gsLst>
                  <a:gs pos="46916">
                    <a:schemeClr val="bg2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('BOD5'!$E$45,'BOD5'!$H$45)</f>
              <strCache>
                <ptCount val="2"/>
                <pt idx="0">
                  <v>ON</v>
                </pt>
                <pt idx="1">
                  <v>OFF</v>
                </pt>
              </strCache>
            </strRef>
          </cat>
          <val>
            <numRef>
              <f>('BOD5'!$E$46,'BOD5'!$H$46)</f>
              <numCache>
                <formatCode>0</formatCode>
                <ptCount val="2"/>
                <pt idx="0">
                  <v>10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b"/>
      <layout>
        <manualLayout>
          <xMode val="edge"/>
          <yMode val="edge"/>
          <wMode val="factor"/>
          <hMode val="factor"/>
          <x val="0.3301725721784777"/>
          <y val="0.894096675415573"/>
          <w val="0.3952104111986001"/>
          <h val="0.0781255468066491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RAS OFF ( 1 hr scale )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pPr>
                <a:gradFill>
                  <a:gsLst>
                    <a:gs pos="57522">
                      <a:srgbClr val="BFD1E7"/>
                    </a:gs>
                    <a:gs pos="34484">
                      <a:srgbClr val="D5E1E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gradFill>
                  <a:gsLst>
                    <a:gs pos="57522">
                      <a:srgbClr val="BFD1E7"/>
                    </a:gs>
                    <a:gs pos="34484">
                      <a:srgbClr val="D5E1E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gradFill>
                <a:gsLst>
                  <a:gs pos="57522">
                    <a:srgbClr val="BFD1E7"/>
                  </a:gs>
                  <a:gs pos="34484">
                    <a:srgbClr val="D5E1EF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('BOD5'!$D$42,'BOD5'!$F$42)</f>
              <strCache>
                <ptCount val="2"/>
                <pt idx="0">
                  <v>ON</v>
                </pt>
                <pt idx="1">
                  <v>OFF</v>
                </pt>
              </strCache>
            </strRef>
          </cat>
          <val>
            <numRef>
              <f>'BOD5'!$H$42:$H$43</f>
              <numCache>
                <formatCode>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b"/>
      <layout>
        <manualLayout>
          <xMode val="edge"/>
          <yMode val="edge"/>
          <wMode val="factor"/>
          <hMode val="factor"/>
          <x val="0.3101782589676291"/>
          <y val="0.894096675415573"/>
          <w val="0.3851990376202974"/>
          <h val="0.0781255468066491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RAS ON ( 1 hr scale )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gradFill>
                <a:gsLst>
                  <a:gs pos="57522">
                    <a:srgbClr val="BFD1E7"/>
                  </a:gs>
                  <a:gs pos="34484">
                    <a:srgbClr val="D5E1EF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('BOD5'!$D$42,'BOD5'!$F$42)</f>
              <strCache>
                <ptCount val="2"/>
                <pt idx="0">
                  <v>ON</v>
                </pt>
                <pt idx="1">
                  <v>OFF</v>
                </pt>
              </strCache>
            </strRef>
          </cat>
          <val>
            <numRef>
              <f>'BOD5'!$E$42:$E$43</f>
              <numCache>
                <formatCode>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b"/>
      <layout>
        <manualLayout>
          <xMode val="edge"/>
          <yMode val="edge"/>
          <wMode val="factor"/>
          <hMode val="factor"/>
          <x val="0.3574004811898513"/>
          <y val="0.894096675415573"/>
          <w val="0.265754593175853"/>
          <h val="0.0781255468066491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Influent</v>
          </tx>
          <spPr>
            <a:ln>
              <a:prstDash val="solid"/>
            </a:ln>
          </spPr>
          <invertIfNegative val="0"/>
          <cat>
            <strLit>
              <ptCount val="1"/>
              <pt idx="0">
                <v>Sulfide</v>
              </pt>
            </strLit>
          </cat>
          <val>
            <numRef>
              <f>Main!$L$16</f>
              <numCache>
                <formatCode>0.00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Effluent</v>
          </tx>
          <spPr>
            <a:ln>
              <a:prstDash val="solid"/>
            </a:ln>
          </spPr>
          <invertIfNegative val="0"/>
          <cat>
            <strLit>
              <ptCount val="1"/>
              <pt idx="0">
                <v>Sulfide</v>
              </pt>
            </strLit>
          </cat>
          <val>
            <numRef>
              <f>Main!$L$18</f>
              <numCache>
                <formatCode>0.00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46061952"/>
        <axId val="149516672"/>
      </barChart>
      <catAx>
        <axId val="146061952"/>
        <scaling>
          <orientation val="maxMin"/>
        </scaling>
        <delete val="0"/>
        <axPos val="b"/>
        <numFmt formatCode="General" sourceLinked="0"/>
        <majorTickMark val="out"/>
        <minorTickMark val="none"/>
        <tickLblPos val="nextTo"/>
        <crossAx val="149516672"/>
        <crosses val="autoZero"/>
        <auto val="1"/>
        <lblAlgn val="ctr"/>
        <lblOffset val="100"/>
        <noMultiLvlLbl val="0"/>
      </catAx>
      <valAx>
        <axId val="149516672"/>
        <scaling>
          <orientation val="minMax"/>
        </scaling>
        <delete val="0"/>
        <axPos val="r"/>
        <majorGridlines/>
        <numFmt formatCode="0.00" sourceLinked="1"/>
        <majorTickMark val="out"/>
        <minorTickMark val="none"/>
        <tickLblPos val="nextTo"/>
        <crossAx val="146061952"/>
        <crosses val="autoZero"/>
        <crossBetween val="between"/>
      </valAx>
    </plotArea>
    <legend>
      <legendPos val="l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Influent</v>
          </tx>
          <spPr>
            <a:ln>
              <a:prstDash val="solid"/>
            </a:ln>
          </spPr>
          <invertIfNegative val="0"/>
          <cat>
            <strRef>
              <f>Main!$H$14</f>
              <strCache>
                <ptCount val="1"/>
                <pt idx="0">
                  <v>TSS</v>
                </pt>
              </strCache>
            </strRef>
          </cat>
          <val>
            <numRef>
              <f>Main!$H$16</f>
              <numCache>
                <formatCode>0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Effluent</v>
          </tx>
          <spPr>
            <a:ln>
              <a:prstDash val="solid"/>
            </a:ln>
          </spPr>
          <invertIfNegative val="0"/>
          <cat>
            <strRef>
              <f>Main!$H$14</f>
              <strCache>
                <ptCount val="1"/>
                <pt idx="0">
                  <v>TSS</v>
                </pt>
              </strCache>
            </strRef>
          </cat>
          <val>
            <numRef>
              <f>Main!$H$18</f>
              <numCache>
                <formatCode>0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51587456"/>
        <axId val="153432832"/>
      </barChart>
      <catAx>
        <axId val="151587456"/>
        <scaling>
          <orientation val="maxMin"/>
        </scaling>
        <delete val="0"/>
        <axPos val="b"/>
        <numFmt formatCode="General" sourceLinked="1"/>
        <majorTickMark val="out"/>
        <minorTickMark val="none"/>
        <tickLblPos val="nextTo"/>
        <crossAx val="153432832"/>
        <crosses val="autoZero"/>
        <auto val="1"/>
        <lblAlgn val="ctr"/>
        <lblOffset val="100"/>
        <noMultiLvlLbl val="0"/>
      </catAx>
      <valAx>
        <axId val="153432832"/>
        <scaling>
          <orientation val="minMax"/>
        </scaling>
        <delete val="0"/>
        <axPos val="r"/>
        <majorGridlines/>
        <numFmt formatCode="0" sourceLinked="1"/>
        <majorTickMark val="out"/>
        <minorTickMark val="none"/>
        <tickLblPos val="nextTo"/>
        <crossAx val="151587456"/>
        <crosses val="autoZero"/>
        <crossBetween val="between"/>
      </valAx>
    </plotArea>
    <legend>
      <legendPos val="l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Influent</v>
          </tx>
          <spPr>
            <a:ln>
              <a:prstDash val="solid"/>
            </a:ln>
          </spPr>
          <invertIfNegative val="0"/>
          <cat>
            <strRef>
              <f>Main!$J$14</f>
              <strCache>
                <ptCount val="1"/>
                <pt idx="0">
                  <v>COD</v>
                </pt>
              </strCache>
            </strRef>
          </cat>
          <val>
            <numRef>
              <f>Main!$J$16</f>
              <numCache>
                <formatCode>0.0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Effluent</v>
          </tx>
          <spPr>
            <a:ln>
              <a:prstDash val="solid"/>
            </a:ln>
          </spPr>
          <invertIfNegative val="0"/>
          <cat>
            <strRef>
              <f>Main!$J$14</f>
              <strCache>
                <ptCount val="1"/>
                <pt idx="0">
                  <v>COD</v>
                </pt>
              </strCache>
            </strRef>
          </cat>
          <val>
            <numRef>
              <f>Main!$J$18</f>
              <numCache>
                <formatCode>0.0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1881472"/>
        <axId val="31883264"/>
      </barChart>
      <catAx>
        <axId val="31881472"/>
        <scaling>
          <orientation val="maxMin"/>
        </scaling>
        <delete val="0"/>
        <axPos val="b"/>
        <numFmt formatCode="General" sourceLinked="0"/>
        <majorTickMark val="out"/>
        <minorTickMark val="none"/>
        <tickLblPos val="nextTo"/>
        <crossAx val="31883264"/>
        <crosses val="autoZero"/>
        <auto val="1"/>
        <lblAlgn val="ctr"/>
        <lblOffset val="100"/>
        <noMultiLvlLbl val="0"/>
      </catAx>
      <valAx>
        <axId val="31883264"/>
        <scaling>
          <orientation val="minMax"/>
        </scaling>
        <delete val="0"/>
        <axPos val="r"/>
        <majorGridlines/>
        <numFmt formatCode="0.0" sourceLinked="1"/>
        <majorTickMark val="out"/>
        <minorTickMark val="none"/>
        <tickLblPos val="nextTo"/>
        <crossAx val="31881472"/>
        <crosses val="autoZero"/>
        <crossBetween val="between"/>
      </valAx>
    </plotArea>
    <legend>
      <legendPos val="l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449657721356259"/>
          <y val="0.05122269750883215"/>
          <w val="0.3568669987680111"/>
          <h val="0.8191232324333161"/>
        </manualLayout>
      </layout>
      <barChart>
        <barDir val="col"/>
        <grouping val="clustered"/>
        <varyColors val="0"/>
        <ser>
          <idx val="2"/>
          <order val="0"/>
          <tx>
            <v>Influent</v>
          </tx>
          <spPr>
            <a:ln>
              <a:prstDash val="solid"/>
            </a:ln>
          </spPr>
          <invertIfNegative val="0"/>
          <cat>
            <numRef>
              <f>Main!$E$29</f>
              <numCache>
                <formatCode>General</formatCode>
                <ptCount val="1"/>
              </numCache>
            </numRef>
          </cat>
          <val>
            <numRef>
              <f>Main!$D$34</f>
              <numCache>
                <formatCode>0.0</formatCode>
                <ptCount val="1"/>
                <pt idx="0">
                  <v>0</v>
                </pt>
              </numCache>
            </numRef>
          </val>
        </ser>
        <ser>
          <idx val="3"/>
          <order val="1"/>
          <tx>
            <v>Effluent</v>
          </tx>
          <spPr>
            <a:ln>
              <a:prstDash val="solid"/>
            </a:ln>
          </spPr>
          <invertIfNegative val="0"/>
          <cat>
            <numRef>
              <f>Main!$E$29</f>
              <numCache>
                <formatCode>General</formatCode>
                <ptCount val="1"/>
              </numCache>
            </numRef>
          </cat>
          <val>
            <numRef>
              <f>Main!$H$34</f>
              <numCache>
                <formatCode>0.0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1892608"/>
        <axId val="31894528"/>
      </barChart>
      <catAx>
        <axId val="31892608"/>
        <scaling>
          <orientation val="maxMin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BOD</a:t>
                </a:r>
                <a:r>
                  <a:rPr lang="en-US" sz="800"/>
                  <a:t>5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5303701323048905"/>
              <y val="0.8888003705419175"/>
            </manualLayout>
          </layout>
          <overlay val="0"/>
        </title>
        <numFmt formatCode="General" sourceLinked="0"/>
        <majorTickMark val="out"/>
        <minorTickMark val="none"/>
        <tickLblPos val="nextTo"/>
        <crossAx val="31894528"/>
        <crosses val="autoZero"/>
        <auto val="1"/>
        <lblAlgn val="ctr"/>
        <lblOffset val="100"/>
        <noMultiLvlLbl val="0"/>
      </catAx>
      <valAx>
        <axId val="31894528"/>
        <scaling>
          <orientation val="minMax"/>
        </scaling>
        <delete val="0"/>
        <axPos val="r"/>
        <majorGridlines/>
        <numFmt formatCode="0.0" sourceLinked="1"/>
        <majorTickMark val="out"/>
        <minorTickMark val="none"/>
        <tickLblPos val="nextTo"/>
        <crossAx val="31892608"/>
        <crosses val="autoZero"/>
        <crossBetween val="between"/>
      </valAx>
    </plotArea>
    <legend>
      <legendPos val="l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Effluent</v>
          </tx>
          <spPr>
            <a:ln>
              <a:prstDash val="solid"/>
            </a:ln>
          </spPr>
          <invertIfNegative val="0"/>
          <cat>
            <strRef>
              <f>Efficiency!$N$7</f>
              <strCache>
                <ptCount val="1"/>
                <pt idx="0">
                  <v>MLSS</v>
                </pt>
              </strCache>
            </strRef>
          </cat>
          <val>
            <numRef>
              <f>Main!$H$18</f>
              <numCache>
                <formatCode>0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Mixed liqour</v>
          </tx>
          <spPr>
            <a:ln>
              <a:prstDash val="solid"/>
            </a:ln>
          </spPr>
          <invertIfNegative val="0"/>
          <cat>
            <strRef>
              <f>Efficiency!$N$7</f>
              <strCache>
                <ptCount val="1"/>
                <pt idx="0">
                  <v>MLSS</v>
                </pt>
              </strCache>
            </strRef>
          </cat>
          <val>
            <numRef>
              <f>Main!$E$25</f>
              <numCache>
                <formatCode>0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1904128"/>
        <axId val="31905664"/>
      </barChart>
      <catAx>
        <axId val="31904128"/>
        <scaling>
          <orientation val="maxMin"/>
        </scaling>
        <delete val="0"/>
        <axPos val="b"/>
        <numFmt formatCode="General" sourceLinked="0"/>
        <majorTickMark val="out"/>
        <minorTickMark val="none"/>
        <tickLblPos val="nextTo"/>
        <crossAx val="31905664"/>
        <crosses val="autoZero"/>
        <auto val="1"/>
        <lblAlgn val="ctr"/>
        <lblOffset val="100"/>
        <noMultiLvlLbl val="0"/>
      </catAx>
      <valAx>
        <axId val="31905664"/>
        <scaling>
          <orientation val="minMax"/>
        </scaling>
        <delete val="0"/>
        <axPos val="r"/>
        <majorGridlines/>
        <numFmt formatCode="0" sourceLinked="1"/>
        <majorTickMark val="out"/>
        <minorTickMark val="none"/>
        <tickLblPos val="nextTo"/>
        <crossAx val="31904128"/>
        <crosses val="autoZero"/>
        <crossBetween val="between"/>
      </valAx>
    </plotArea>
    <legend>
      <legendPos val="l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turbidity!$K$14</f>
              <strCache>
                <ptCount val="1"/>
                <pt idx="0">
                  <v>TSS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turbidity!$C$9</f>
              <strCache>
                <ptCount val="1"/>
                <pt idx="0">
                  <v>Turbidity comparison</v>
                </pt>
              </strCache>
            </strRef>
          </cat>
          <val>
            <numRef>
              <f>turbidity!$K$17</f>
              <numCache>
                <formatCode>0.0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strRef>
              <f>turbidity!$H$14</f>
              <strCache>
                <ptCount val="1"/>
                <pt idx="0">
                  <v>Turbidity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turbidity!$C$9</f>
              <strCache>
                <ptCount val="1"/>
                <pt idx="0">
                  <v>Turbidity comparison</v>
                </pt>
              </strCache>
            </strRef>
          </cat>
          <val>
            <numRef>
              <f>turbidity!$H$17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2"/>
          <order val="2"/>
          <tx>
            <strRef>
              <f>turbidity!$D$14</f>
              <strCache>
                <ptCount val="1"/>
                <pt idx="0">
                  <v>BOD5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turbidity!$C$9</f>
              <strCache>
                <ptCount val="1"/>
                <pt idx="0">
                  <v>Turbidity comparison</v>
                </pt>
              </strCache>
            </strRef>
          </cat>
          <val>
            <numRef>
              <f>turbidity!$D$17</f>
              <numCache>
                <formatCode>0.0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2197248"/>
        <axId val="32207232"/>
      </barChart>
      <catAx>
        <axId val="32197248"/>
        <scaling>
          <orientation val="maxMin"/>
        </scaling>
        <delete val="0"/>
        <axPos val="b"/>
        <numFmt formatCode="General" sourceLinked="0"/>
        <majorTickMark val="out"/>
        <minorTickMark val="none"/>
        <tickLblPos val="nextTo"/>
        <crossAx val="32207232"/>
        <crosses val="autoZero"/>
        <auto val="1"/>
        <lblAlgn val="ctr"/>
        <lblOffset val="100"/>
        <noMultiLvlLbl val="0"/>
      </catAx>
      <valAx>
        <axId val="32207232"/>
        <scaling>
          <orientation val="minMax"/>
        </scaling>
        <delete val="0"/>
        <axPos val="r"/>
        <majorGridlines/>
        <numFmt formatCode="0.0" sourceLinked="1"/>
        <majorTickMark val="out"/>
        <minorTickMark val="none"/>
        <tickLblPos val="nextTo"/>
        <crossAx val="32197248"/>
        <crosses val="autoZero"/>
        <crossBetween val="between"/>
      </valAx>
    </plotArea>
    <legend>
      <legendPos val="l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ayout/>
      <scatterChart>
        <scatterStyle val="smoothMarker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'Break point report'!$D$27:$M$27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xVal>
          <yVal>
            <numRef>
              <f>'Break point report'!$D$30:$M$30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2261632"/>
        <axId val="32263552"/>
      </scatterChart>
      <valAx>
        <axId val="32261632"/>
        <scaling>
          <orientation val="minMax"/>
          <max val="10"/>
          <min val="4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Cl Dose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32263552"/>
        <crosses val="autoZero"/>
        <crossBetween val="midCat"/>
        <majorUnit val="0.5"/>
      </valAx>
      <valAx>
        <axId val="32263552"/>
        <scaling>
          <orientation val="minMax"/>
          <min val="0.01"/>
        </scaling>
        <delete val="0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Total Cl</a:t>
                </a:r>
                <a:endParaRPr lang="ar-EG"/>
              </a:p>
            </rich>
          </tx>
          <overlay val="0"/>
        </title>
        <numFmt formatCode="General" sourceLinked="0"/>
        <majorTickMark val="none"/>
        <minorTickMark val="none"/>
        <tickLblPos val="nextTo"/>
        <crossAx val="32261632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State Point Analysis - Project</a:t>
            </a:r>
            <a:r>
              <a:rPr lang="en-US" baseline="0"/>
              <a:t xml:space="preserve"> - Date</a:t>
            </a:r>
            <a:endParaRPr lang="en-US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187613390431459"/>
          <y val="0.1107956082369833"/>
          <w val="0.8065525855320717"/>
          <h val="0.7463181685622632"/>
        </manualLayout>
      </layout>
      <scatterChart>
        <scatterStyle val="lineMarker"/>
        <varyColors val="0"/>
        <ser>
          <idx val="0"/>
          <order val="0"/>
          <spPr>
            <a:ln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Point'!$A$42:$A$193</f>
              <numCache>
                <formatCode>General</formatCode>
                <ptCount val="152"/>
                <pt idx="0">
                  <v>0</v>
                </pt>
                <pt idx="1">
                  <v>0.1</v>
                </pt>
                <pt idx="2">
                  <v>0.2</v>
                </pt>
                <pt idx="3">
                  <v>0.3</v>
                </pt>
                <pt idx="4">
                  <v>0.4</v>
                </pt>
                <pt idx="5">
                  <v>0.5</v>
                </pt>
                <pt idx="6">
                  <v>0.6</v>
                </pt>
                <pt idx="7">
                  <v>0.7</v>
                </pt>
                <pt idx="8">
                  <v>0.8</v>
                </pt>
                <pt idx="9">
                  <v>0.9</v>
                </pt>
                <pt idx="10">
                  <v>1</v>
                </pt>
                <pt idx="11">
                  <v>1.1</v>
                </pt>
                <pt idx="12">
                  <v>1.2</v>
                </pt>
                <pt idx="13">
                  <v>1.3</v>
                </pt>
                <pt idx="14">
                  <v>1.4</v>
                </pt>
                <pt idx="15">
                  <v>1.5</v>
                </pt>
                <pt idx="16">
                  <v>1.6</v>
                </pt>
                <pt idx="17">
                  <v>1.7</v>
                </pt>
                <pt idx="18">
                  <v>1.8</v>
                </pt>
                <pt idx="19">
                  <v>1.9</v>
                </pt>
                <pt idx="20">
                  <v>2</v>
                </pt>
                <pt idx="21">
                  <v>2.1</v>
                </pt>
                <pt idx="22">
                  <v>2.2</v>
                </pt>
                <pt idx="23">
                  <v>2.3</v>
                </pt>
                <pt idx="24">
                  <v>2.4</v>
                </pt>
                <pt idx="25">
                  <v>2.5</v>
                </pt>
                <pt idx="26">
                  <v>2.6</v>
                </pt>
                <pt idx="27">
                  <v>2.7</v>
                </pt>
                <pt idx="28">
                  <v>2.8</v>
                </pt>
                <pt idx="29">
                  <v>2.9</v>
                </pt>
                <pt idx="30">
                  <v>3</v>
                </pt>
                <pt idx="31">
                  <v>3.1</v>
                </pt>
                <pt idx="32">
                  <v>3.2</v>
                </pt>
                <pt idx="33">
                  <v>3.3</v>
                </pt>
                <pt idx="34">
                  <v>3.4</v>
                </pt>
                <pt idx="35">
                  <v>3.5</v>
                </pt>
                <pt idx="36">
                  <v>3.6</v>
                </pt>
                <pt idx="37">
                  <v>3.7</v>
                </pt>
                <pt idx="38">
                  <v>3.8</v>
                </pt>
                <pt idx="39">
                  <v>3.9</v>
                </pt>
                <pt idx="40">
                  <v>4</v>
                </pt>
                <pt idx="41">
                  <v>4.1</v>
                </pt>
                <pt idx="42">
                  <v>4.2</v>
                </pt>
                <pt idx="43">
                  <v>4.3</v>
                </pt>
                <pt idx="44">
                  <v>4.4</v>
                </pt>
                <pt idx="45">
                  <v>4.5</v>
                </pt>
                <pt idx="46">
                  <v>4.6</v>
                </pt>
                <pt idx="47">
                  <v>4.7</v>
                </pt>
                <pt idx="48">
                  <v>4.8</v>
                </pt>
                <pt idx="49">
                  <v>4.9</v>
                </pt>
                <pt idx="50">
                  <v>5</v>
                </pt>
                <pt idx="51">
                  <v>5.1</v>
                </pt>
                <pt idx="52">
                  <v>5.2</v>
                </pt>
                <pt idx="53">
                  <v>5.3</v>
                </pt>
                <pt idx="54">
                  <v>5.4</v>
                </pt>
                <pt idx="55">
                  <v>5.5</v>
                </pt>
                <pt idx="56">
                  <v>5.6</v>
                </pt>
                <pt idx="57">
                  <v>5.7</v>
                </pt>
                <pt idx="58">
                  <v>5.8</v>
                </pt>
                <pt idx="59">
                  <v>5.9</v>
                </pt>
                <pt idx="60">
                  <v>6</v>
                </pt>
                <pt idx="61">
                  <v>6.1</v>
                </pt>
                <pt idx="62">
                  <v>6.2</v>
                </pt>
                <pt idx="63">
                  <v>6.3</v>
                </pt>
                <pt idx="64">
                  <v>6.4</v>
                </pt>
                <pt idx="65">
                  <v>6.5</v>
                </pt>
                <pt idx="66">
                  <v>6.6</v>
                </pt>
                <pt idx="67">
                  <v>6.7</v>
                </pt>
                <pt idx="68">
                  <v>6.8</v>
                </pt>
                <pt idx="69">
                  <v>6.9</v>
                </pt>
                <pt idx="70">
                  <v>7</v>
                </pt>
                <pt idx="71">
                  <v>7.1</v>
                </pt>
                <pt idx="72">
                  <v>7.2</v>
                </pt>
                <pt idx="73">
                  <v>7.3</v>
                </pt>
                <pt idx="74">
                  <v>7.4</v>
                </pt>
                <pt idx="75">
                  <v>7.5</v>
                </pt>
                <pt idx="76">
                  <v>7.6</v>
                </pt>
                <pt idx="77">
                  <v>7.7</v>
                </pt>
                <pt idx="78">
                  <v>7.8</v>
                </pt>
                <pt idx="79">
                  <v>7.9</v>
                </pt>
                <pt idx="80">
                  <v>8</v>
                </pt>
                <pt idx="81">
                  <v>8.1</v>
                </pt>
                <pt idx="82">
                  <v>8.199999999999999</v>
                </pt>
                <pt idx="83">
                  <v>8.300000000000001</v>
                </pt>
                <pt idx="84">
                  <v>8.4</v>
                </pt>
                <pt idx="85">
                  <v>8.5</v>
                </pt>
                <pt idx="86">
                  <v>8.6</v>
                </pt>
                <pt idx="87">
                  <v>8.699999999999999</v>
                </pt>
                <pt idx="88">
                  <v>8.800000000000001</v>
                </pt>
                <pt idx="89">
                  <v>8.9</v>
                </pt>
                <pt idx="90">
                  <v>9</v>
                </pt>
                <pt idx="91">
                  <v>9.1</v>
                </pt>
                <pt idx="92">
                  <v>9.199999999999999</v>
                </pt>
                <pt idx="93">
                  <v>9.300000000000001</v>
                </pt>
                <pt idx="94">
                  <v>9.4</v>
                </pt>
                <pt idx="95">
                  <v>9.5</v>
                </pt>
                <pt idx="96">
                  <v>9.6</v>
                </pt>
                <pt idx="97">
                  <v>9.699999999999999</v>
                </pt>
                <pt idx="98">
                  <v>9.800000000000001</v>
                </pt>
                <pt idx="99">
                  <v>9.9</v>
                </pt>
                <pt idx="100">
                  <v>10</v>
                </pt>
                <pt idx="101">
                  <v>10.1</v>
                </pt>
                <pt idx="102">
                  <v>10.2</v>
                </pt>
                <pt idx="103">
                  <v>10.3</v>
                </pt>
                <pt idx="104">
                  <v>10.4</v>
                </pt>
                <pt idx="105">
                  <v>10.5</v>
                </pt>
                <pt idx="106">
                  <v>10.6</v>
                </pt>
                <pt idx="107">
                  <v>10.7</v>
                </pt>
                <pt idx="108">
                  <v>10.8</v>
                </pt>
                <pt idx="109">
                  <v>10.9</v>
                </pt>
                <pt idx="110">
                  <v>11</v>
                </pt>
                <pt idx="111">
                  <v>11.1</v>
                </pt>
                <pt idx="112">
                  <v>11.2</v>
                </pt>
                <pt idx="113">
                  <v>11.3</v>
                </pt>
                <pt idx="114">
                  <v>11.4</v>
                </pt>
                <pt idx="115">
                  <v>11.5</v>
                </pt>
                <pt idx="116">
                  <v>11.6</v>
                </pt>
                <pt idx="117">
                  <v>11.7</v>
                </pt>
                <pt idx="118">
                  <v>11.8</v>
                </pt>
                <pt idx="119">
                  <v>11.9</v>
                </pt>
                <pt idx="120">
                  <v>12</v>
                </pt>
                <pt idx="121">
                  <v>12.1</v>
                </pt>
                <pt idx="122">
                  <v>12.2</v>
                </pt>
                <pt idx="123">
                  <v>12.3</v>
                </pt>
                <pt idx="124">
                  <v>12.4</v>
                </pt>
                <pt idx="125">
                  <v>12.5</v>
                </pt>
                <pt idx="126">
                  <v>12.6</v>
                </pt>
                <pt idx="127">
                  <v>12.7</v>
                </pt>
                <pt idx="128">
                  <v>12.8</v>
                </pt>
                <pt idx="129">
                  <v>12.9</v>
                </pt>
                <pt idx="130">
                  <v>13</v>
                </pt>
                <pt idx="131">
                  <v>13.1</v>
                </pt>
                <pt idx="132">
                  <v>13.2</v>
                </pt>
                <pt idx="133">
                  <v>13.3</v>
                </pt>
                <pt idx="134">
                  <v>13.4</v>
                </pt>
                <pt idx="135">
                  <v>13.5</v>
                </pt>
                <pt idx="136">
                  <v>13.6</v>
                </pt>
                <pt idx="137">
                  <v>13.7</v>
                </pt>
                <pt idx="138">
                  <v>13.8</v>
                </pt>
                <pt idx="139">
                  <v>13.9</v>
                </pt>
                <pt idx="140">
                  <v>14</v>
                </pt>
                <pt idx="141">
                  <v>14.1</v>
                </pt>
                <pt idx="142">
                  <v>14.2</v>
                </pt>
                <pt idx="143">
                  <v>14.3</v>
                </pt>
                <pt idx="144">
                  <v>14.4</v>
                </pt>
                <pt idx="145">
                  <v>14.5</v>
                </pt>
                <pt idx="146">
                  <v>14.6</v>
                </pt>
                <pt idx="147">
                  <v>14.7</v>
                </pt>
                <pt idx="148">
                  <v>14.8</v>
                </pt>
                <pt idx="149">
                  <v>14.9</v>
                </pt>
                <pt idx="150">
                  <v>15</v>
                </pt>
                <pt idx="151">
                  <v>0</v>
                </pt>
              </numCache>
            </numRef>
          </xVal>
          <yVal>
            <numRef>
              <f>'State Point'!$B$42:$B$193</f>
              <numCache>
                <formatCode>General</formatCode>
                <ptCount val="15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</numCache>
            </numRef>
          </yVal>
          <smooth val="0"/>
        </ser>
        <ser>
          <idx val="1"/>
          <order val="1"/>
          <spPr>
            <a:ln w="28575"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Pt>
            <idx val="151"/>
            <marker>
              <symbol val="square"/>
              <size val="9"/>
              <spPr>
                <a:solidFill>
                  <a:srgbClr val="FF0000"/>
                </a:solidFill>
                <a:ln>
                  <a:solidFill>
                    <a:schemeClr val="tx1"/>
                  </a:solidFill>
                  <a:prstDash val="solid"/>
                </a:ln>
              </spPr>
            </marker>
            <bubble3D val="0"/>
            <spPr>
              <a:ln w="28575">
                <a:solidFill>
                  <a:srgbClr val="E82718"/>
                </a:solidFill>
                <a:prstDash val="solid"/>
              </a:ln>
            </spPr>
          </dPt>
          <xVal>
            <numRef>
              <f>'State Point'!$A$42:$A$193</f>
              <numCache>
                <formatCode>General</formatCode>
                <ptCount val="152"/>
                <pt idx="0">
                  <v>0</v>
                </pt>
                <pt idx="1">
                  <v>0.1</v>
                </pt>
                <pt idx="2">
                  <v>0.2</v>
                </pt>
                <pt idx="3">
                  <v>0.3</v>
                </pt>
                <pt idx="4">
                  <v>0.4</v>
                </pt>
                <pt idx="5">
                  <v>0.5</v>
                </pt>
                <pt idx="6">
                  <v>0.6</v>
                </pt>
                <pt idx="7">
                  <v>0.7</v>
                </pt>
                <pt idx="8">
                  <v>0.8</v>
                </pt>
                <pt idx="9">
                  <v>0.9</v>
                </pt>
                <pt idx="10">
                  <v>1</v>
                </pt>
                <pt idx="11">
                  <v>1.1</v>
                </pt>
                <pt idx="12">
                  <v>1.2</v>
                </pt>
                <pt idx="13">
                  <v>1.3</v>
                </pt>
                <pt idx="14">
                  <v>1.4</v>
                </pt>
                <pt idx="15">
                  <v>1.5</v>
                </pt>
                <pt idx="16">
                  <v>1.6</v>
                </pt>
                <pt idx="17">
                  <v>1.7</v>
                </pt>
                <pt idx="18">
                  <v>1.8</v>
                </pt>
                <pt idx="19">
                  <v>1.9</v>
                </pt>
                <pt idx="20">
                  <v>2</v>
                </pt>
                <pt idx="21">
                  <v>2.1</v>
                </pt>
                <pt idx="22">
                  <v>2.2</v>
                </pt>
                <pt idx="23">
                  <v>2.3</v>
                </pt>
                <pt idx="24">
                  <v>2.4</v>
                </pt>
                <pt idx="25">
                  <v>2.5</v>
                </pt>
                <pt idx="26">
                  <v>2.6</v>
                </pt>
                <pt idx="27">
                  <v>2.7</v>
                </pt>
                <pt idx="28">
                  <v>2.8</v>
                </pt>
                <pt idx="29">
                  <v>2.9</v>
                </pt>
                <pt idx="30">
                  <v>3</v>
                </pt>
                <pt idx="31">
                  <v>3.1</v>
                </pt>
                <pt idx="32">
                  <v>3.2</v>
                </pt>
                <pt idx="33">
                  <v>3.3</v>
                </pt>
                <pt idx="34">
                  <v>3.4</v>
                </pt>
                <pt idx="35">
                  <v>3.5</v>
                </pt>
                <pt idx="36">
                  <v>3.6</v>
                </pt>
                <pt idx="37">
                  <v>3.7</v>
                </pt>
                <pt idx="38">
                  <v>3.8</v>
                </pt>
                <pt idx="39">
                  <v>3.9</v>
                </pt>
                <pt idx="40">
                  <v>4</v>
                </pt>
                <pt idx="41">
                  <v>4.1</v>
                </pt>
                <pt idx="42">
                  <v>4.2</v>
                </pt>
                <pt idx="43">
                  <v>4.3</v>
                </pt>
                <pt idx="44">
                  <v>4.4</v>
                </pt>
                <pt idx="45">
                  <v>4.5</v>
                </pt>
                <pt idx="46">
                  <v>4.6</v>
                </pt>
                <pt idx="47">
                  <v>4.7</v>
                </pt>
                <pt idx="48">
                  <v>4.8</v>
                </pt>
                <pt idx="49">
                  <v>4.9</v>
                </pt>
                <pt idx="50">
                  <v>5</v>
                </pt>
                <pt idx="51">
                  <v>5.1</v>
                </pt>
                <pt idx="52">
                  <v>5.2</v>
                </pt>
                <pt idx="53">
                  <v>5.3</v>
                </pt>
                <pt idx="54">
                  <v>5.4</v>
                </pt>
                <pt idx="55">
                  <v>5.5</v>
                </pt>
                <pt idx="56">
                  <v>5.6</v>
                </pt>
                <pt idx="57">
                  <v>5.7</v>
                </pt>
                <pt idx="58">
                  <v>5.8</v>
                </pt>
                <pt idx="59">
                  <v>5.9</v>
                </pt>
                <pt idx="60">
                  <v>6</v>
                </pt>
                <pt idx="61">
                  <v>6.1</v>
                </pt>
                <pt idx="62">
                  <v>6.2</v>
                </pt>
                <pt idx="63">
                  <v>6.3</v>
                </pt>
                <pt idx="64">
                  <v>6.4</v>
                </pt>
                <pt idx="65">
                  <v>6.5</v>
                </pt>
                <pt idx="66">
                  <v>6.6</v>
                </pt>
                <pt idx="67">
                  <v>6.7</v>
                </pt>
                <pt idx="68">
                  <v>6.8</v>
                </pt>
                <pt idx="69">
                  <v>6.9</v>
                </pt>
                <pt idx="70">
                  <v>7</v>
                </pt>
                <pt idx="71">
                  <v>7.1</v>
                </pt>
                <pt idx="72">
                  <v>7.2</v>
                </pt>
                <pt idx="73">
                  <v>7.3</v>
                </pt>
                <pt idx="74">
                  <v>7.4</v>
                </pt>
                <pt idx="75">
                  <v>7.5</v>
                </pt>
                <pt idx="76">
                  <v>7.6</v>
                </pt>
                <pt idx="77">
                  <v>7.7</v>
                </pt>
                <pt idx="78">
                  <v>7.8</v>
                </pt>
                <pt idx="79">
                  <v>7.9</v>
                </pt>
                <pt idx="80">
                  <v>8</v>
                </pt>
                <pt idx="81">
                  <v>8.1</v>
                </pt>
                <pt idx="82">
                  <v>8.199999999999999</v>
                </pt>
                <pt idx="83">
                  <v>8.300000000000001</v>
                </pt>
                <pt idx="84">
                  <v>8.4</v>
                </pt>
                <pt idx="85">
                  <v>8.5</v>
                </pt>
                <pt idx="86">
                  <v>8.6</v>
                </pt>
                <pt idx="87">
                  <v>8.699999999999999</v>
                </pt>
                <pt idx="88">
                  <v>8.800000000000001</v>
                </pt>
                <pt idx="89">
                  <v>8.9</v>
                </pt>
                <pt idx="90">
                  <v>9</v>
                </pt>
                <pt idx="91">
                  <v>9.1</v>
                </pt>
                <pt idx="92">
                  <v>9.199999999999999</v>
                </pt>
                <pt idx="93">
                  <v>9.300000000000001</v>
                </pt>
                <pt idx="94">
                  <v>9.4</v>
                </pt>
                <pt idx="95">
                  <v>9.5</v>
                </pt>
                <pt idx="96">
                  <v>9.6</v>
                </pt>
                <pt idx="97">
                  <v>9.699999999999999</v>
                </pt>
                <pt idx="98">
                  <v>9.800000000000001</v>
                </pt>
                <pt idx="99">
                  <v>9.9</v>
                </pt>
                <pt idx="100">
                  <v>10</v>
                </pt>
                <pt idx="101">
                  <v>10.1</v>
                </pt>
                <pt idx="102">
                  <v>10.2</v>
                </pt>
                <pt idx="103">
                  <v>10.3</v>
                </pt>
                <pt idx="104">
                  <v>10.4</v>
                </pt>
                <pt idx="105">
                  <v>10.5</v>
                </pt>
                <pt idx="106">
                  <v>10.6</v>
                </pt>
                <pt idx="107">
                  <v>10.7</v>
                </pt>
                <pt idx="108">
                  <v>10.8</v>
                </pt>
                <pt idx="109">
                  <v>10.9</v>
                </pt>
                <pt idx="110">
                  <v>11</v>
                </pt>
                <pt idx="111">
                  <v>11.1</v>
                </pt>
                <pt idx="112">
                  <v>11.2</v>
                </pt>
                <pt idx="113">
                  <v>11.3</v>
                </pt>
                <pt idx="114">
                  <v>11.4</v>
                </pt>
                <pt idx="115">
                  <v>11.5</v>
                </pt>
                <pt idx="116">
                  <v>11.6</v>
                </pt>
                <pt idx="117">
                  <v>11.7</v>
                </pt>
                <pt idx="118">
                  <v>11.8</v>
                </pt>
                <pt idx="119">
                  <v>11.9</v>
                </pt>
                <pt idx="120">
                  <v>12</v>
                </pt>
                <pt idx="121">
                  <v>12.1</v>
                </pt>
                <pt idx="122">
                  <v>12.2</v>
                </pt>
                <pt idx="123">
                  <v>12.3</v>
                </pt>
                <pt idx="124">
                  <v>12.4</v>
                </pt>
                <pt idx="125">
                  <v>12.5</v>
                </pt>
                <pt idx="126">
                  <v>12.6</v>
                </pt>
                <pt idx="127">
                  <v>12.7</v>
                </pt>
                <pt idx="128">
                  <v>12.8</v>
                </pt>
                <pt idx="129">
                  <v>12.9</v>
                </pt>
                <pt idx="130">
                  <v>13</v>
                </pt>
                <pt idx="131">
                  <v>13.1</v>
                </pt>
                <pt idx="132">
                  <v>13.2</v>
                </pt>
                <pt idx="133">
                  <v>13.3</v>
                </pt>
                <pt idx="134">
                  <v>13.4</v>
                </pt>
                <pt idx="135">
                  <v>13.5</v>
                </pt>
                <pt idx="136">
                  <v>13.6</v>
                </pt>
                <pt idx="137">
                  <v>13.7</v>
                </pt>
                <pt idx="138">
                  <v>13.8</v>
                </pt>
                <pt idx="139">
                  <v>13.9</v>
                </pt>
                <pt idx="140">
                  <v>14</v>
                </pt>
                <pt idx="141">
                  <v>14.1</v>
                </pt>
                <pt idx="142">
                  <v>14.2</v>
                </pt>
                <pt idx="143">
                  <v>14.3</v>
                </pt>
                <pt idx="144">
                  <v>14.4</v>
                </pt>
                <pt idx="145">
                  <v>14.5</v>
                </pt>
                <pt idx="146">
                  <v>14.6</v>
                </pt>
                <pt idx="147">
                  <v>14.7</v>
                </pt>
                <pt idx="148">
                  <v>14.8</v>
                </pt>
                <pt idx="149">
                  <v>14.9</v>
                </pt>
                <pt idx="150">
                  <v>15</v>
                </pt>
                <pt idx="151">
                  <v>0</v>
                </pt>
              </numCache>
            </numRef>
          </xVal>
          <yVal>
            <numRef>
              <f>'State Point'!$C$42:$C$193</f>
              <numCache>
                <formatCode>General</formatCode>
                <ptCount val="152"/>
                <pt idx="151">
                  <v>0</v>
                </pt>
              </numCache>
            </numRef>
          </yVal>
          <smooth val="0"/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Point'!$A$194:$A$195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Point'!$B$194:$B$195</f>
              <numCache>
                <formatCode>General</formatCode>
                <ptCount val="2"/>
              </numCache>
            </numRef>
          </yVal>
          <smooth val="0"/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Point'!$A$194:$A$195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Point'!$C$194:$C$195</f>
              <numCache>
                <formatCode>General</formatCode>
                <ptCount val="2"/>
              </numCache>
            </numRef>
          </yVal>
          <smooth val="0"/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Pt>
            <idx val="1"/>
            <bubble3D val="0"/>
            <spPr>
              <a:ln>
                <a:solidFill>
                  <a:srgbClr val="00B050"/>
                </a:solidFill>
                <a:prstDash val="solid"/>
              </a:ln>
            </spPr>
          </dPt>
          <xVal>
            <numRef>
              <f>'State Point'!$A$194:$A$195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Point'!$D$194:$D$195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yVal>
          <smooth val="0"/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Point'!$A$196:$A$197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Point'!$B$196:$B$197</f>
              <numCache>
                <formatCode>General</formatCode>
                <ptCount val="2"/>
              </numCache>
            </numRef>
          </yVal>
          <smooth val="0"/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Point'!$A$196:$A$197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Point'!$C$196:$C$197</f>
              <numCache>
                <formatCode>General</formatCode>
                <ptCount val="2"/>
              </numCache>
            </numRef>
          </yVal>
          <smooth val="0"/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Point'!$A$196:$A$197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Point'!$D$196:$D$197</f>
              <numCache>
                <formatCode>General</formatCode>
                <ptCount val="2"/>
              </numCache>
            </numRef>
          </yVal>
          <smooth val="0"/>
        </ser>
        <ser>
          <idx val="8"/>
          <order val="8"/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Point'!$A$196:$A$197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Point'!$E$196:$E$197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yVal>
          <smooth val="0"/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Point'!$A$198</f>
              <numCache>
                <formatCode>General</formatCode>
                <ptCount val="1"/>
                <pt idx="0">
                  <v>0</v>
                </pt>
              </numCache>
            </numRef>
          </xVal>
          <yVal>
            <numRef>
              <f>'State Point'!$B$198</f>
              <numCache>
                <formatCode>General</formatCode>
                <ptCount val="1"/>
              </numCache>
            </numRef>
          </yVal>
          <smooth val="0"/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Point'!$A$198</f>
              <numCache>
                <formatCode>General</formatCode>
                <ptCount val="1"/>
                <pt idx="0">
                  <v>0</v>
                </pt>
              </numCache>
            </numRef>
          </xVal>
          <yVal>
            <numRef>
              <f>'State Point'!$C$198</f>
              <numCache>
                <formatCode>General</formatCode>
                <ptCount val="1"/>
              </numCache>
            </numRef>
          </yVal>
          <smooth val="0"/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Point'!$A$198</f>
              <numCache>
                <formatCode>General</formatCode>
                <ptCount val="1"/>
                <pt idx="0">
                  <v>0</v>
                </pt>
              </numCache>
            </numRef>
          </xVal>
          <yVal>
            <numRef>
              <f>'State Point'!$D$198</f>
              <numCache>
                <formatCode>General</formatCode>
                <ptCount val="1"/>
              </numCache>
            </numRef>
          </yVal>
          <smooth val="0"/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Point'!$A$198</f>
              <numCache>
                <formatCode>General</formatCode>
                <ptCount val="1"/>
                <pt idx="0">
                  <v>0</v>
                </pt>
              </numCache>
            </numRef>
          </xVal>
          <yVal>
            <numRef>
              <f>'State Point'!$E$198</f>
              <numCache>
                <formatCode>General</formatCode>
                <ptCount val="1"/>
              </numCache>
            </numRef>
          </yVal>
          <smooth val="0"/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Point'!$A$198</f>
              <numCache>
                <formatCode>General</formatCode>
                <ptCount val="1"/>
                <pt idx="0">
                  <v>0</v>
                </pt>
              </numCache>
            </numRef>
          </xVal>
          <yVal>
            <numRef>
              <f>'State Point'!$F$198</f>
              <numCache>
                <formatCode>General</formatCode>
                <ptCount val="1"/>
                <pt idx="0">
                  <v>0</v>
                </pt>
              </numCache>
            </numRef>
          </yVal>
          <smooth val="0"/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Point'!$A$199:$A$200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Point'!$B$199:$B$200</f>
              <numCache>
                <formatCode>General</formatCode>
                <ptCount val="2"/>
              </numCache>
            </numRef>
          </yVal>
          <smooth val="0"/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Point'!$A$199:$A$200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Point'!$C$199:$C$200</f>
              <numCache>
                <formatCode>General</formatCode>
                <ptCount val="2"/>
              </numCache>
            </numRef>
          </yVal>
          <smooth val="0"/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Point'!$A$199:$A$200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Point'!$D$199:$D$200</f>
              <numCache>
                <formatCode>General</formatCode>
                <ptCount val="2"/>
              </numCache>
            </numRef>
          </yVal>
          <smooth val="0"/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Point'!$A$199:$A$200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Point'!$E$199:$E$200</f>
              <numCache>
                <formatCode>General</formatCode>
                <ptCount val="2"/>
              </numCache>
            </numRef>
          </yVal>
          <smooth val="0"/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Point'!$A$199:$A$200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Point'!$F$199:$F$200</f>
              <numCache>
                <formatCode>General</formatCode>
                <ptCount val="2"/>
              </numCache>
            </numRef>
          </yVal>
          <smooth val="0"/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Point'!$A$199:$A$200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Point'!$G$199:$G$200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yVal>
          <smooth val="0"/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Point'!$A$201:$A$202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Point'!$B$201:$B$202</f>
              <numCache>
                <formatCode>General</formatCode>
                <ptCount val="2"/>
              </numCache>
            </numRef>
          </yVal>
          <smooth val="0"/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Point'!$A$201:$A$202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Point'!$C$201:$C$202</f>
              <numCache>
                <formatCode>General</formatCode>
                <ptCount val="2"/>
              </numCache>
            </numRef>
          </yVal>
          <smooth val="0"/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Point'!$A$201:$A$202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Point'!$D$201:$D$202</f>
              <numCache>
                <formatCode>General</formatCode>
                <ptCount val="2"/>
              </numCache>
            </numRef>
          </yVal>
          <smooth val="0"/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Point'!$A$201:$A$202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Point'!$E$201:$E$202</f>
              <numCache>
                <formatCode>General</formatCode>
                <ptCount val="2"/>
              </numCache>
            </numRef>
          </yVal>
          <smooth val="0"/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Point'!$A$201:$A$202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Point'!$F$201:$F$202</f>
              <numCache>
                <formatCode>General</formatCode>
                <ptCount val="2"/>
              </numCache>
            </numRef>
          </yVal>
          <smooth val="0"/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Point'!$A$201:$A$202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Point'!$G$201:$G$202</f>
              <numCache>
                <formatCode>General</formatCode>
                <ptCount val="2"/>
              </numCache>
            </numRef>
          </yVal>
          <smooth val="0"/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Point'!$A$201:$A$202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Point'!$H$201:$H$202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yVal>
          <smooth val="0"/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Point'!$A$203:$A$205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xVal>
          <yVal>
            <numRef>
              <f>'State Point'!$B$203:$B$205</f>
              <numCache>
                <formatCode>General</formatCode>
                <ptCount val="3"/>
              </numCache>
            </numRef>
          </yVal>
          <smooth val="0"/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Point'!$A$203:$A$205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xVal>
          <yVal>
            <numRef>
              <f>'State Point'!$C$203:$C$205</f>
              <numCache>
                <formatCode>General</formatCode>
                <ptCount val="3"/>
              </numCache>
            </numRef>
          </yVal>
          <smooth val="0"/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Point'!$A$203:$A$205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xVal>
          <yVal>
            <numRef>
              <f>'State Point'!$D$203:$D$205</f>
              <numCache>
                <formatCode>General</formatCode>
                <ptCount val="3"/>
              </numCache>
            </numRef>
          </yVal>
          <smooth val="0"/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Point'!$A$203:$A$205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xVal>
          <yVal>
            <numRef>
              <f>'State Point'!$E$203:$E$205</f>
              <numCache>
                <formatCode>General</formatCode>
                <ptCount val="3"/>
              </numCache>
            </numRef>
          </yVal>
          <smooth val="0"/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Point'!$A$203:$A$205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xVal>
          <yVal>
            <numRef>
              <f>'State Point'!$F$203:$F$205</f>
              <numCache>
                <formatCode>General</formatCode>
                <ptCount val="3"/>
              </numCache>
            </numRef>
          </yVal>
          <smooth val="0"/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Point'!$A$203:$A$205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xVal>
          <yVal>
            <numRef>
              <f>'State Point'!$G$203:$G$205</f>
              <numCache>
                <formatCode>General</formatCode>
                <ptCount val="3"/>
              </numCache>
            </numRef>
          </yVal>
          <smooth val="0"/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Point'!$A$203:$A$205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xVal>
          <yVal>
            <numRef>
              <f>'State Point'!$H$203:$H$205</f>
              <numCache>
                <formatCode>General</formatCode>
                <ptCount val="3"/>
              </numCache>
            </numRef>
          </yVal>
          <smooth val="0"/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Point'!$A$205:$A$206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Point'!$B$205:$B$206</f>
              <numCache>
                <formatCode>General</formatCode>
                <ptCount val="2"/>
              </numCache>
            </numRef>
          </yVal>
          <smooth val="0"/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Point'!$A$205:$A$206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Point'!$C$205:$C$206</f>
              <numCache>
                <formatCode>General</formatCode>
                <ptCount val="2"/>
              </numCache>
            </numRef>
          </yVal>
          <smooth val="0"/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Point'!$A$205:$A$206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Point'!$D$205:$D$206</f>
              <numCache>
                <formatCode>General</formatCode>
                <ptCount val="2"/>
              </numCache>
            </numRef>
          </yVal>
          <smooth val="0"/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Point'!$A$205:$A$206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Point'!$E$205:$E$206</f>
              <numCache>
                <formatCode>General</formatCode>
                <ptCount val="2"/>
              </numCache>
            </numRef>
          </yVal>
          <smooth val="0"/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Point'!$A$205:$A$206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Point'!$F$205:$F$206</f>
              <numCache>
                <formatCode>General</formatCode>
                <ptCount val="2"/>
              </numCache>
            </numRef>
          </yVal>
          <smooth val="0"/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Point'!$A$205:$A$206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Point'!$G$205:$G$206</f>
              <numCache>
                <formatCode>General</formatCode>
                <ptCount val="2"/>
              </numCache>
            </numRef>
          </yVal>
          <smooth val="0"/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Point'!$A$205:$A$206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Point'!$H$205:$H$206</f>
              <numCache>
                <formatCode>General</formatCode>
                <ptCount val="2"/>
              </numCache>
            </numRef>
          </yVal>
          <smooth val="0"/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Point'!$A$205:$A$206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Point'!$I$205:$I$206</f>
              <numCache>
                <formatCode>General</formatCode>
                <ptCount val="2"/>
              </numCache>
            </numRef>
          </yVal>
          <smooth val="0"/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'State Point'!$A$205:$A$206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xVal>
          <yVal>
            <numRef>
              <f>'State Point'!$J$205:$J$206</f>
              <numCache>
                <formatCode>General</formatCode>
                <ptCount val="2"/>
                <pt idx="0">
                  <v>0</v>
                </pt>
                <pt idx="1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81539840"/>
        <axId val="81541760"/>
      </scatterChart>
      <valAx>
        <axId val="81539840"/>
        <scaling>
          <orientation val="minMax"/>
          <max val="15"/>
          <min val="0"/>
        </scaling>
        <delete val="0"/>
        <axPos val="b"/>
        <majorGridlines>
          <spPr>
            <a:ln>
              <a:solidFill>
                <a:schemeClr val="accent1"/>
              </a:solidFill>
              <a:prstDash val="dash"/>
            </a:ln>
          </spPr>
        </majorGridlines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Solids Concentration  (g/L)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93609844822029"/>
              <y val="0.9201399825021871"/>
            </manualLayout>
          </layout>
          <overlay val="0"/>
        </title>
        <numFmt formatCode="General" sourceLinked="1"/>
        <majorTickMark val="in"/>
        <minorTickMark val="in"/>
        <tickLblPos val="nextTo"/>
        <txPr>
          <a:bodyPr rot="0" vert="horz"/>
          <a:lstStyle/>
          <a:p>
            <a:pPr>
              <a:defRPr/>
            </a:pPr>
            <a:r>
              <a:t>None</a:t>
            </a:r>
            <a:endParaRPr lang="en-US"/>
          </a:p>
        </txPr>
        <crossAx val="81541760"/>
        <crossesAt val="0"/>
        <crossBetween val="midCat"/>
        <majorUnit val="5"/>
        <minorUnit val="1"/>
      </valAx>
      <valAx>
        <axId val="81541760"/>
        <scaling>
          <orientation val="minMax"/>
          <min val="0"/>
        </scaling>
        <delete val="0"/>
        <axPos val="l"/>
        <majorGridlines>
          <spPr>
            <a:ln>
              <a:solidFill>
                <a:schemeClr val="accent1"/>
              </a:solidFill>
              <a:prstDash val="dash"/>
            </a:ln>
          </spPr>
        </majorGridlines>
        <title>
          <tx>
            <strRef>
              <f>"Solids Flux  (kg/m2d)"</f>
              <strCache>
                <ptCount val="1"/>
                <pt idx="0">
                  <v>Solids Flux  (kg/m2d)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04053506469586039"/>
              <y val="0.3599538859725868"/>
            </manualLayout>
          </layout>
          <overlay val="0"/>
        </title>
        <numFmt formatCode="General" sourceLinked="1"/>
        <majorTickMark val="in"/>
        <minorTickMark val="in"/>
        <tickLblPos val="nextTo"/>
        <txPr>
          <a:bodyPr rot="0" vert="horz"/>
          <a:lstStyle/>
          <a:p>
            <a:pPr>
              <a:defRPr/>
            </a:pPr>
            <a:r>
              <a:t>None</a:t>
            </a:r>
            <a:endParaRPr lang="en-US"/>
          </a:p>
        </txPr>
        <crossAx val="81539840"/>
        <crosses val="autoZero"/>
        <crossBetween val="midCat"/>
      </valAx>
    </plotArea>
    <plotVisOnly val="1"/>
    <dispBlanksAs val="gap"/>
  </chart>
  <spPr>
    <a:ln w="12700">
      <a:noFill/>
      <a:prstDash val="solid"/>
    </a:ln>
  </spPr>
</chartSpace>
</file>

<file path=xl/comments/comment1.xml><?xml version="1.0" encoding="utf-8"?>
<comments xmlns="http://schemas.openxmlformats.org/spreadsheetml/2006/main">
  <authors>
    <author>mohamed</author>
  </authors>
  <commentList>
    <comment ref="C32" authorId="0" shapeId="0">
      <text>
        <t>mohamed:
= BOD5 * Flow /(MLVSS *(Aeration tank volume + clarifier volume )</t>
      </text>
    </comment>
    <comment ref="D39" authorId="0" shapeId="0">
      <text>
        <t>mohamed:
=MLSS*(ATV+CLV)/((RASS*Was flow)+(Effluent TSS *flow))</t>
      </text>
    </comment>
    <comment ref="D45" authorId="0" shapeId="0">
      <text>
        <t>mohamed:
=((MLSS*(ATV +CLV)/MCRT(20 D))- (Eff TSS * Flow))/(RASS/1000)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14</col>
      <colOff>445943</colOff>
      <row>30</row>
      <rowOff>86591</rowOff>
    </from>
    <to>
      <col>20</col>
      <colOff>1060738</colOff>
      <row>41</row>
      <rowOff>93518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14</col>
      <colOff>406977</colOff>
      <row>20</row>
      <rowOff>252845</rowOff>
    </from>
    <to>
      <col>20</col>
      <colOff>1021772</colOff>
      <row>29</row>
      <rowOff>415636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14</col>
      <colOff>372341</colOff>
      <row>11</row>
      <rowOff>86590</rowOff>
    </from>
    <to>
      <col>20</col>
      <colOff>987136</colOff>
      <row>19</row>
      <rowOff>335972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38101</colOff>
      <row>10</row>
      <rowOff>219075</rowOff>
    </from>
    <to>
      <col>3</col>
      <colOff>57150</colOff>
      <row>25</row>
      <rowOff>152400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</col>
      <colOff>66675</colOff>
      <row>10</row>
      <rowOff>228600</rowOff>
    </from>
    <to>
      <col>6</col>
      <colOff>161925</colOff>
      <row>26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6</col>
      <colOff>171450</colOff>
      <row>10</row>
      <rowOff>238125</rowOff>
    </from>
    <to>
      <col>9</col>
      <colOff>171450</colOff>
      <row>26</row>
      <rowOff>9525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9</col>
      <colOff>142875</colOff>
      <row>10</row>
      <rowOff>238125</rowOff>
    </from>
    <to>
      <col>12</col>
      <colOff>180975</colOff>
      <row>26</row>
      <rowOff>19050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12</col>
      <colOff>304800</colOff>
      <row>10</row>
      <rowOff>238125</rowOff>
    </from>
    <to>
      <col>15</col>
      <colOff>581024</colOff>
      <row>26</row>
      <rowOff>9525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266700</colOff>
      <row>18</row>
      <rowOff>76200</rowOff>
    </from>
    <to>
      <col>9</col>
      <colOff>285750</colOff>
      <row>34</row>
      <rowOff>171450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190500</colOff>
      <row>37</row>
      <rowOff>85724</rowOff>
    </from>
    <to>
      <col>12</col>
      <colOff>542925</colOff>
      <row>49</row>
      <rowOff>28575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58856</colOff>
      <row>5</row>
      <rowOff>42565</rowOff>
    </from>
    <to>
      <col>18</col>
      <colOff>211256</colOff>
      <row>37</row>
      <rowOff>109240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twoCellAnchor>
</wsDr>
</file>

<file path=xl/tables/table1.xml><?xml version="1.0" encoding="utf-8"?>
<table xmlns="http://schemas.openxmlformats.org/spreadsheetml/2006/main" id="1" name="Table1" displayName="Table1" ref="AB25:AJ34" headerRowCount="1" totalsRowShown="0" headerRowDxfId="235" dataDxfId="234" totalsRowDxfId="233">
  <autoFilter ref="AB25:AJ34"/>
  <tableColumns count="9">
    <tableColumn id="1" name="Column1" dataDxfId="232" totalsRowDxfId="231"/>
    <tableColumn id="2" name="Ag2SO4" dataDxfId="230" totalsRowDxfId="229"/>
    <tableColumn id="3" name="H2SO4" dataDxfId="228" totalsRowDxfId="227"/>
    <tableColumn id="4" name="1,10-phenanthroline monohydrate" dataDxfId="226" totalsRowDxfId="225"/>
    <tableColumn id="5" name="FeSO4 7H2O" dataDxfId="224" totalsRowDxfId="223"/>
    <tableColumn id="6" name="D.Water" dataDxfId="222" totalsRowDxfId="221"/>
    <tableColumn id="7" name="Fe(NH4)2(SO4)2.6H2O" dataDxfId="220" totalsRowDxfId="219"/>
    <tableColumn id="8" name="HgSO4" dataDxfId="218" totalsRowDxfId="217"/>
    <tableColumn id="9" name="K2Cr2O7" dataDxfId="216" totalsRowDxfId="21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1422" displayName="Table1422" ref="M18:T22" headerRowCount="1" totalsRowShown="0" headerRowDxfId="214" dataDxfId="213" totalsRowDxfId="212">
  <autoFilter ref="M18:T22"/>
  <tableColumns count="8">
    <tableColumn id="1" name="Solution" dataDxfId="211" totalsRowDxfId="210"/>
    <tableColumn id="2" name="Na2S2O3.5H2O" dataDxfId="209" totalsRowDxfId="208"/>
    <tableColumn id="3" name="NaOH" dataDxfId="207" totalsRowDxfId="206"/>
    <tableColumn id="4" name="I2" dataDxfId="205" totalsRowDxfId="204"/>
    <tableColumn id="5" name="KI" dataDxfId="203" totalsRowDxfId="202"/>
    <tableColumn id="6" name="D.Water" dataDxfId="201" totalsRowDxfId="200"/>
    <tableColumn id="7" name="KH(IO3)2" dataDxfId="199" totalsRowDxfId="198"/>
    <tableColumn id="8" name="HCl" dataDxfId="197" totalsRowDxfId="19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1115" displayName="Table1115" ref="T5:AC12" headerRowCount="1" totalsRowShown="0" headerRowDxfId="195" dataDxfId="193" headerRowBorderDxfId="194" tableBorderDxfId="192" totalsRowBorderDxfId="191">
  <autoFilter ref="T5:AC12"/>
  <tableColumns count="10">
    <tableColumn id="1" name="S.N." dataDxfId="190"/>
    <tableColumn id="2" name="Crucible W1" dataDxfId="189"/>
    <tableColumn id="3" name="Correcttion 1" dataDxfId="188">
      <calculatedColumnFormula>_xlfn.IFNA(VLOOKUP(ROUND(Table1115[[#This Row],[Crucible W1]],0),Radwag[],3),"")</calculatedColumnFormula>
    </tableColumn>
    <tableColumn id="4" name="Net weight 1" dataDxfId="187">
      <calculatedColumnFormula>IFERROR(Table1115[[#This Row],[Crucible W1]]+Table1115[[#This Row],[Correcttion 1]],"")</calculatedColumnFormula>
    </tableColumn>
    <tableColumn id="5" name="Sludge + Crucible W2" dataDxfId="186"/>
    <tableColumn id="6" name="Correcttion2" dataDxfId="185">
      <calculatedColumnFormula>_xlfn.IFNA(VLOOKUP(ROUND(Table1115[[#This Row],[Sludge + Crucible W2]],0),Radwag[],3),"")</calculatedColumnFormula>
    </tableColumn>
    <tableColumn id="7" name="Net weight2" dataDxfId="184">
      <calculatedColumnFormula>IFERROR(Table1115[[#This Row],[Sludge + Crucible W2]]+Table1115[[#This Row],[Correcttion2]],"")</calculatedColumnFormula>
    </tableColumn>
    <tableColumn id="8" name="Dry + crucible W3" dataDxfId="183"/>
    <tableColumn id="9" name="Correcttion23" dataDxfId="182">
      <calculatedColumnFormula>_xlfn.IFNA(VLOOKUP(ROUND(Table1115[[#This Row],[Dry + crucible W3]],0),Radwag[],3),"")</calculatedColumnFormula>
    </tableColumn>
    <tableColumn id="10" name="Net weight24" dataDxfId="181">
      <calculatedColumnFormula>IFERROR(Table1115[[#This Row],[Dry + crucible W3]]+Table1115[[#This Row],[Correcttion23]],"")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134" displayName="Table134" ref="T22:AI32" headerRowCount="1" totalsRowShown="0" headerRowDxfId="180" dataDxfId="179" totalsRowDxfId="178">
  <autoFilter ref="T22:AI32"/>
  <tableColumns count="16">
    <tableColumn id="1" name="Column1" dataDxfId="177" totalsRowDxfId="176"/>
    <tableColumn id="2" name="FeCl3.6H2O" dataDxfId="175" totalsRowDxfId="174"/>
    <tableColumn id="3" name="KH2PO4" dataDxfId="173" totalsRowDxfId="172"/>
    <tableColumn id="4" name="K2HPO4" dataDxfId="171" totalsRowDxfId="170"/>
    <tableColumn id="5" name="Na2HPO4.7H2O" dataDxfId="169" totalsRowDxfId="168"/>
    <tableColumn id="6" name="D.Water" dataDxfId="167" totalsRowDxfId="166"/>
    <tableColumn id="7" name="NH4Cl" dataDxfId="165" totalsRowDxfId="164"/>
    <tableColumn id="8" name="MgSO4.7H2O" dataDxfId="163" totalsRowDxfId="162"/>
    <tableColumn id="9" name="CaCl2" dataDxfId="161" totalsRowDxfId="160"/>
    <tableColumn id="10" name="glucose" dataDxfId="159" totalsRowDxfId="158"/>
    <tableColumn id="11" name="glutamic acid" dataDxfId="157" totalsRowDxfId="156"/>
    <tableColumn id="12" name="Na2HPO4" dataDxfId="155" totalsRowDxfId="154"/>
    <tableColumn id="14" name="C4H8N2s" dataDxfId="153" totalsRowDxfId="152"/>
    <tableColumn id="13" name="conc H2SO4" dataDxfId="151" totalsRowDxfId="150"/>
    <tableColumn id="15" name="NaOH" dataDxfId="149" totalsRowDxfId="148"/>
    <tableColumn id="16" name="Conc HCl" dataDxfId="147" totalsRowDxfId="14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11" displayName="Table11" ref="L8:U15" headerRowCount="1" totalsRowShown="0" headerRowDxfId="143" dataDxfId="141" headerRowBorderDxfId="142" tableBorderDxfId="140" totalsRowBorderDxfId="139">
  <autoFilter ref="L8:U15"/>
  <tableColumns count="10">
    <tableColumn id="1" name="S.N." dataDxfId="138"/>
    <tableColumn id="2" name="WEIGHT 1" dataDxfId="137"/>
    <tableColumn id="3" name="Correcttion 1" dataDxfId="136">
      <calculatedColumnFormula>IFERROR(IF(ISBLANK(Table11[[#This Row],[S.N.]]),"",VLOOKUP(ROUND(Table11[[#This Row],[WEIGHT 1]],0),Radwag[],3,Radwag[[#This Row],[Weigh]])),"")</calculatedColumnFormula>
    </tableColumn>
    <tableColumn id="4" name="Net weight 1" dataDxfId="135">
      <calculatedColumnFormula>IFERROR(Table11[[#This Row],[WEIGHT 1]]+Table11[[#This Row],[Correcttion 1]],"")</calculatedColumnFormula>
    </tableColumn>
    <tableColumn id="8" name="WEIGHT2"/>
    <tableColumn id="9" name="Correcttion2" dataDxfId="134">
      <calculatedColumnFormula>IFERROR(IF(ISBLANK(Table11[[#This Row],[WEIGHT2]]),"",VLOOKUP(ROUND(Table11[[#This Row],[WEIGHT2]],0),Radwag[],3,Radwag[[#This Row],[Weigh]])),"")</calculatedColumnFormula>
    </tableColumn>
    <tableColumn id="10" name="Net weight 2" dataDxfId="133">
      <calculatedColumnFormula>IFERROR(Table11[[#This Row],[WEIGHT2]]+Table11[[#This Row],[Correcttion2]],"")</calculatedColumnFormula>
    </tableColumn>
    <tableColumn id="5" name="WEIGHT3" dataDxfId="132"/>
    <tableColumn id="6" name="Correcttion3" dataDxfId="131">
      <calculatedColumnFormula>IFERROR(IF(ISBLANK(Table11[[#This Row],[WEIGHT3]]),"",VLOOKUP(ROUND(Table11[[#This Row],[WEIGHT3]],0),Radwag[],3,Radwag[[#This Row],[Weigh]])),"")</calculatedColumnFormula>
    </tableColumn>
    <tableColumn id="7" name="Net weight3" dataDxfId="130">
      <calculatedColumnFormula>IFERROR(Table11[[#This Row],[WEIGHT3]]+Table11[[#This Row],[Correcttion3]],"")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9" displayName="Table9" ref="C39:I42" headerRowCount="1" totalsRowShown="0" headerRowDxfId="129" dataDxfId="128">
  <autoFilter ref="C39:I42"/>
  <tableColumns count="7">
    <tableColumn id="1" name="Date" dataDxfId="127">
      <calculatedColumnFormula>IF(Table9[[#This Row],[Temp °c]]="","",Main!$D$11)</calculatedColumnFormula>
    </tableColumn>
    <tableColumn id="2" name="Equipment" dataDxfId="126"/>
    <tableColumn id="3" name="Temp °c" dataDxfId="125"/>
    <tableColumn id="4" name="uS/cm" dataDxfId="124">
      <calculatedColumnFormula>IFERROR(INDEX(conductivity[[15]:[30]],MATCH(ROUND(Table9[[#This Row],[Temp °c]]-TRUNC(Table9[[#This Row],[Temp °c]]),1),conductivity[Column1],0),MATCH(TRUNC(Table9[[#This Row],[Temp °c]]),$BA$28:$BP$28,0)),"")</calculatedColumnFormula>
    </tableColumn>
    <tableColumn id="5" name="Found uS/cm" dataDxfId="123"/>
    <tableColumn id="6" name="Re-read" dataDxfId="122"/>
    <tableColumn id="7" name="Remark" dataDxfId="121">
      <calculatedColumnFormula>IFERROR(IF(Table9[[#This Row],[Re-read]]="","",IF(ABS(Table9[[#This Row],[Re-read]]-Table9[[#This Row],[uS/cm]])&gt;(0.08*Table9[[#This Row],[uS/cm]]),"Rejected","ACC")),"")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conductivity" displayName="conductivity" ref="AZ27:BP38" headerRowCount="1" totalsRowShown="0" headerRowDxfId="120" dataDxfId="118" headerRowBorderDxfId="119" tableBorderDxfId="117" totalsRowBorderDxfId="116">
  <autoFilter ref="AZ27:BP38"/>
  <tableColumns count="17">
    <tableColumn id="1" name="Column1" dataDxfId="115"/>
    <tableColumn id="2" name="15" dataDxfId="114"/>
    <tableColumn id="3" name="16" dataDxfId="113"/>
    <tableColumn id="4" name="17" dataDxfId="112"/>
    <tableColumn id="5" name="18" dataDxfId="111"/>
    <tableColumn id="6" name="19" dataDxfId="110"/>
    <tableColumn id="7" name="20" dataDxfId="109"/>
    <tableColumn id="8" name="21" dataDxfId="108"/>
    <tableColumn id="9" name="22" dataDxfId="107"/>
    <tableColumn id="10" name="23" dataDxfId="106"/>
    <tableColumn id="11" name="24" dataDxfId="105"/>
    <tableColumn id="12" name="25" dataDxfId="104"/>
    <tableColumn id="13" name="26" dataDxfId="103"/>
    <tableColumn id="14" name="27" dataDxfId="102"/>
    <tableColumn id="15" name="28" dataDxfId="101"/>
    <tableColumn id="16" name="29" dataDxfId="100"/>
    <tableColumn id="17" name="30" dataDxfId="99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63:G67" headerRowCount="1" totalsRowShown="0" headerRowDxfId="98" dataDxfId="97">
  <autoFilter ref="A63:G67"/>
  <tableColumns count="7">
    <tableColumn id="1" name="تصرف الطلمبات" dataDxfId="96"/>
    <tableColumn id="2" name="طامية" dataDxfId="95"/>
    <tableColumn id="3" name="الروضة" dataDxfId="94"/>
    <tableColumn id="4" name="الروبيات" dataDxfId="93"/>
    <tableColumn id="5" name="محطة المعالجة" dataDxfId="92"/>
    <tableColumn id="6" name="RAS" dataDxfId="91"/>
    <tableColumn id="7" name="WAS" dataDxfId="9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1113" displayName="Table1113" ref="J13:P20" headerRowCount="1" totalsRowShown="0" headerRowDxfId="89" dataDxfId="87" headerRowBorderDxfId="88" tableBorderDxfId="86" totalsRowBorderDxfId="85">
  <autoFilter ref="J13:P20"/>
  <tableColumns count="7">
    <tableColumn id="1" name="S.N." dataDxfId="84"/>
    <tableColumn id="2" name="WEIGHT 1" dataDxfId="83"/>
    <tableColumn id="3" name="Correcttion 1" dataDxfId="82">
      <calculatedColumnFormula>IFERROR(IF(ISBLANK(Table1113[[#This Row],[WEIGHT 1]]),"",VLOOKUP(ROUND(Table1113[[#This Row],[WEIGHT 1]],0),Radwag[],3,Radwag[[#This Row],[Weigh]])),"")</calculatedColumnFormula>
    </tableColumn>
    <tableColumn id="4" name="Net weight 1" dataDxfId="81">
      <calculatedColumnFormula>IFERROR(Table1113[[#This Row],[WEIGHT 1]]+Table1113[[#This Row],[Correcttion 1]],"")</calculatedColumnFormula>
    </tableColumn>
    <tableColumn id="5" name="WEIGHT2" dataDxfId="80"/>
    <tableColumn id="6" name="Correcttion2" dataDxfId="79">
      <calculatedColumnFormula>IFERROR(IF(ISBLANK(Table1113[[#This Row],[WEIGHT2]]),"",VLOOKUP(ROUND(Table1113[[#This Row],[WEIGHT2]],0),Radwag[],3,Radwag[[#This Row],[Weigh]])),"")</calculatedColumnFormula>
    </tableColumn>
    <tableColumn id="7" name="Net weight2" dataDxfId="78">
      <calculatedColumnFormula>IFERROR(Table1113[[#This Row],[WEIGHT2]]+Table1113[[#This Row],[Correcttion2]],"")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114" displayName="Table1114" ref="N13:T21" headerRowCount="1" totalsRowShown="0" headerRowDxfId="77" dataDxfId="75" headerRowBorderDxfId="76" tableBorderDxfId="74" totalsRowBorderDxfId="73">
  <autoFilter ref="N13:T21"/>
  <tableColumns count="7">
    <tableColumn id="1" name="S.N." dataDxfId="72"/>
    <tableColumn id="2" name="WEIGHT 1" dataDxfId="71"/>
    <tableColumn id="3" name="Correcttion 1" dataDxfId="70">
      <calculatedColumnFormula>IFERROR(IF(ISBLANK(Table1114[[#This Row],[WEIGHT 1]]),"",VLOOKUP(ROUND(Table1114[[#This Row],[WEIGHT 1]],0),Radwag[],3,Radwag[[#This Row],[Weigh]])),"")</calculatedColumnFormula>
    </tableColumn>
    <tableColumn id="4" name="Net weight 1" dataDxfId="69">
      <calculatedColumnFormula>IFERROR(Table1114[[#This Row],[WEIGHT 1]]+Table1114[[#This Row],[Correcttion 1]],"")</calculatedColumnFormula>
    </tableColumn>
    <tableColumn id="5" name="WEIGHT2" dataDxfId="68"/>
    <tableColumn id="6" name="Correcttion2" dataDxfId="67">
      <calculatedColumnFormula>IFERROR(IF(ISBLANK(Table1114[[#This Row],[WEIGHT2]]),"",VLOOKUP(ROUND(Table1114[[#This Row],[WEIGHT2]],0),Radwag[],3,Radwag[[#This Row],[Weigh]])),"")</calculatedColumnFormula>
    </tableColumn>
    <tableColumn id="7" name="Net weight2" dataDxfId="66">
      <calculatedColumnFormula>IFERROR(Table1114[[#This Row],[WEIGHT2]]+Table1114[[#This Row],[Correcttion2]],"")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Radwag" displayName="Radwag" ref="BD8:BF337" headerRowCount="1" totalsRowShown="0" headerRowDxfId="65" dataDxfId="64">
  <autoFilter ref="BD8:BF337"/>
  <tableColumns count="3">
    <tableColumn id="1" name="Weigh" dataDxfId="63"/>
    <tableColumn id="2" name="Error" dataDxfId="62"/>
    <tableColumn id="3" name="Correction" dataDxfId="61">
      <calculatedColumnFormula>-Radwag[[#This Row],[Error]]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Weight" displayName="Weight" ref="B12:E17" headerRowCount="1" totalsRowCount="1" headerRowDxfId="60" dataDxfId="59" totalsRowDxfId="58">
  <autoFilter ref="B12:E16"/>
  <tableColumns count="4">
    <tableColumn id="1" name="S.N." dataDxfId="57" totalsRowDxfId="56"/>
    <tableColumn id="2" name="WEIGHT" dataDxfId="55" totalsRowDxfId="54"/>
    <tableColumn id="3" name="Correcttion" dataDxfId="53" totalsRowDxfId="52">
      <calculatedColumnFormula>IFERROR(IF(ISBLANK(Weight[[#This Row],[WEIGHT]]),"",VLOOKUP(ROUND(Weight[[#This Row],[WEIGHT]],0),Radwag[],3,Radwag[[#This Row],[Weigh]])),"")</calculatedColumnFormula>
    </tableColumn>
    <tableColumn id="4" name="Net weight" totalsRowFunction="custom" dataDxfId="51" totalsRowDxfId="50">
      <calculatedColumnFormula>IFERROR(Weight[[#This Row],[WEIGHT]]+Weight[[#This Row],[Correcttion]],"")</calculatedColumnFormula>
      <totalsRowFormula>IFERROR(AVERAGE(E16-E15,E15-E14,E14-E13),"")</totalsRow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Dispenser" displayName="Dispenser" ref="AO8:BA64" headerRowCount="1" totalsRowShown="0" headerRowDxfId="49" dataDxfId="48">
  <autoFilter ref="AO8:BA64"/>
  <tableColumns count="13">
    <tableColumn id="1" name="Column1" dataDxfId="47"/>
    <tableColumn id="2" name="20E79250" dataDxfId="46"/>
    <tableColumn id="3" name="18B75913" dataDxfId="45"/>
    <tableColumn id="4" name="18B75882" dataDxfId="44"/>
    <tableColumn id="5" name="20G33697" dataDxfId="43"/>
    <tableColumn id="6" name="50109103" dataDxfId="42"/>
    <tableColumn id="7" name="20G33740" dataDxfId="41"/>
    <tableColumn id="8" name="19C43897" dataDxfId="40"/>
    <tableColumn id="9" name="19C43891" dataDxfId="39"/>
    <tableColumn id="10" name="19A06196" dataDxfId="38"/>
    <tableColumn id="11" name="19C43892" dataDxfId="37"/>
    <tableColumn id="12" name="100820020" dataDxfId="36"/>
    <tableColumn id="13" name="Column13" dataDxfId="35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7" displayName="Table7" ref="C26:J27" headerRowCount="1" totalsRowShown="0" headerRowDxfId="34" dataDxfId="33">
  <autoFilter ref="C26:J27"/>
  <tableColumns count="8">
    <tableColumn id="1" name="Date" dataDxfId="32"/>
    <tableColumn id="2" name="ID" dataDxfId="31"/>
    <tableColumn id="3" name="Volume Dispensed" dataDxfId="30"/>
    <tableColumn id="4" name="W1 " dataDxfId="29">
      <calculatedColumnFormula>$E$13</calculatedColumnFormula>
    </tableColumn>
    <tableColumn id="5" name="W2" dataDxfId="28">
      <calculatedColumnFormula>IFERROR(Table7[[W1 ]]+Table7[W2-W1],"")</calculatedColumnFormula>
    </tableColumn>
    <tableColumn id="6" name="W2-W1" dataDxfId="27">
      <calculatedColumnFormula>IFERROR(HLOOKUP(Table7[ID],Dispenser[],MATCH(Table7[Volume Dispensed],Dispenser[Column1],0),FALSE)+Weight[[#Totals],[Net weight]],"")</calculatedColumnFormula>
    </tableColumn>
    <tableColumn id="7" name="Recovery" dataDxfId="26" dataCellStyle="Percent">
      <calculatedColumnFormula>IFERROR(Table7[W2-W1]/Table7[Volume Dispensed],"")</calculatedColumnFormula>
    </tableColumn>
    <tableColumn id="8" name="Remark" dataDxfId="25">
      <calculatedColumnFormula>IFERROR(IF(Table7[Date]="","",IF(OR(Table7[Recovery]&lt;0.9,Table7[Recovery]&gt;1.1),"Rejected","ACC")),"")</calculatedColumnFormula>
    </tableColumn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D9:I30" headerRowCount="1" totalsRowShown="0" headerRowDxfId="24" dataDxfId="23">
  <autoFilter ref="D9:I30"/>
  <tableColumns count="6">
    <tableColumn id="1" name="Nominal Mass" dataDxfId="22"/>
    <tableColumn id="2" name="Marking" dataDxfId="21"/>
    <tableColumn id="7" name="Code" dataDxfId="20">
      <calculatedColumnFormula>IF(OR(Table15[[#This Row],[Marking]]="",Table15[[#This Row],[Marking]]="*"),CONCATENATE(Table15[[#This Row],[Nominal Mass]]," ",Table15[[#This Row],[Marking]]),Table15[[#This Row],[Marking]])</calculatedColumnFormula>
    </tableColumn>
    <tableColumn id="3" name="M" dataDxfId="19">
      <calculatedColumnFormula>IF(OR(Table15[[#This Row],[Marking]]="",Table15[[#This Row],[Marking]]="*"),CONCATENATE(Table15[[#This Row],[Nominal Mass]]," ", "mg"),CONCATENATE(Table15[[#This Row],[Nominal Mass]]," ", "g"))</calculatedColumnFormula>
    </tableColumn>
    <tableColumn id="4" name="Error" dataDxfId="18"/>
    <tableColumn id="5" name="U" dataDxfId="17"/>
  </tableColumns>
  <tableStyleInfo name="TableStyleMedium13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D41:G53" headerRowCount="1" totalsRowCount="1" headerRowDxfId="16" dataDxfId="15" totalsRowDxfId="14">
  <autoFilter ref="D41:G52"/>
  <tableColumns count="4">
    <tableColumn id="1" name="Mass" dataDxfId="13" totalsRowDxfId="12"/>
    <tableColumn id="3" name="Weight" totalsRowFunction="sum" dataDxfId="11" totalsRowDxfId="10">
      <calculatedColumnFormula>IFERROR(IF(OR(INDEX(Table15[],MATCH(Table16[[#This Row],[Mass]],Table15[Code],0),2)="",INDEX(Table15[],MATCH(Table16[[#This Row],[Mass]],Table15[Code],0),2)="*"),(INDEX(Table15[],MATCH(Table16[[#This Row],[Mass]],Table15[Code],0),1)/1000),INDEX(Table15[],MATCH(Table16[[#This Row],[Mass]],Table15[Code],0),1)),"")</calculatedColumnFormula>
    </tableColumn>
    <tableColumn id="2" name="Error" totalsRowFunction="sum" dataDxfId="9" totalsRowDxfId="8">
      <calculatedColumnFormula>IFERROR(INDEX(Table15[],MATCH(Table16[[#This Row],[Mass]],Table15[Code],0),MATCH(Table16[[#Headers],[Error]],Table15[#Headers],0)),"")</calculatedColumnFormula>
    </tableColumn>
    <tableColumn id="4" name="U" totalsRowFunction="max" dataDxfId="7" totalsRowDxfId="6">
      <calculatedColumnFormula>IFERROR(INDEX(Table15[],MATCH(Table16[[#This Row],[Mass]],Table15[Code],0),MATCH(Table16[[#Headers],[U]],Table15[#Headers],0)),"")</calculatedColumnFormula>
    </tableColumn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J41:M42" headerRowCount="1" totalsRowShown="0" headerRowDxfId="5" dataDxfId="4">
  <autoFilter ref="J41:M42"/>
  <tableColumns count="4">
    <tableColumn id="1" name=" Weight" dataDxfId="3">
      <calculatedColumnFormula>IFERROR(IF(Dispenser!C13="","",Table16[[#Totals],[Weight]]),"")</calculatedColumnFormula>
    </tableColumn>
    <tableColumn id="5" name="Limit" dataDxfId="2">
      <calculatedColumnFormula>IFERROR(IF(Table17[Balance Reading]="","",IF(Table17[Balance Reading]&lt;=50,"±0.0005",IF(Table17[Balance Reading]&gt;200,"±0.0015","±0.001"))),"")</calculatedColumnFormula>
    </tableColumn>
    <tableColumn id="3" name="Balance Reading" dataDxfId="1">
      <calculatedColumnFormula>IFERROR(IF(ISBLANK(Dispenser!E13),"",Dispenser!E13-Table16[[#Totals],[Error]]),"")</calculatedColumnFormula>
    </tableColumn>
    <tableColumn id="2" name="Acceptance" dataDxfId="0">
      <calculatedColumnFormula>IFERROR(IF(Table17[[ Weight]]="","",IF(OR(Table17[Balance Reading]&gt;Table16[[#Totals],[Weight]]+RIGHT(Table17[Limit],LEN(Table17[Limit])-1),Table17[Balance Reading]&lt;Table16[[#Totals],[Weight]]-RIGHT(Table17[Limit],LEN(Table17[Limit])-1)),"Rejected","Accepted")),"")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Relationship Type="http://schemas.openxmlformats.org/officeDocument/2006/relationships/table" Target="/xl/tables/table9.xml" Id="rId4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Relationship Type="http://schemas.openxmlformats.org/officeDocument/2006/relationships/table" Target="/xl/tables/table13.xml" Id="rId3" /><Relationship Type="http://schemas.openxmlformats.org/officeDocument/2006/relationships/table" Target="/xl/tables/table14.xml" Id="rId4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Relationship Type="http://schemas.openxmlformats.org/officeDocument/2006/relationships/table" Target="/xl/tables/table16.xml" Id="rId2" /><Relationship Type="http://schemas.openxmlformats.org/officeDocument/2006/relationships/table" Target="/xl/tables/table17.xml" Id="rId3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3:AK133"/>
  <sheetViews>
    <sheetView tabSelected="1" showWhiteSpace="0" zoomScale="120" zoomScaleNormal="120" zoomScaleSheetLayoutView="75" workbookViewId="0">
      <selection activeCell="A1" sqref="A1"/>
    </sheetView>
  </sheetViews>
  <sheetFormatPr baseColWidth="8" defaultColWidth="9.109375" defaultRowHeight="13.2"/>
  <cols>
    <col width="6" customWidth="1" style="2" min="1" max="1"/>
    <col width="11.33203125" bestFit="1" customWidth="1" style="2" min="2" max="2"/>
    <col width="10.33203125" customWidth="1" style="2" min="3" max="3"/>
    <col width="8.6640625" customWidth="1" style="2" min="4" max="4"/>
    <col width="8.109375" customWidth="1" style="2" min="5" max="5"/>
    <col width="8.44140625" customWidth="1" style="2" min="6" max="6"/>
    <col width="7.6640625" customWidth="1" style="2" min="7" max="7"/>
    <col width="10.44140625" customWidth="1" style="2" min="8" max="8"/>
    <col width="7.6640625" customWidth="1" style="2" min="9" max="9"/>
    <col width="9" customWidth="1" style="2" min="10" max="10"/>
    <col width="16.33203125" customWidth="1" style="2" min="11" max="11"/>
    <col width="10.109375" bestFit="1" customWidth="1" style="2" min="12" max="12"/>
    <col width="15.33203125" bestFit="1" customWidth="1" style="2" min="13" max="13"/>
    <col width="13.88671875" bestFit="1" customWidth="1" style="2" min="14" max="14"/>
    <col width="13" bestFit="1" customWidth="1" style="2" min="15" max="15"/>
    <col width="9.109375" customWidth="1" style="2" min="16" max="18"/>
    <col width="10" bestFit="1" customWidth="1" style="2" min="19" max="19"/>
    <col width="9.109375" customWidth="1" style="2" min="20" max="20"/>
    <col width="33.5546875" customWidth="1" style="2" min="21" max="21"/>
    <col width="9.109375" customWidth="1" style="2" min="22" max="24"/>
    <col width="9.5546875" bestFit="1" customWidth="1" style="2" min="25" max="25"/>
    <col width="9.109375" customWidth="1" style="2" min="26" max="35"/>
    <col width="11.109375" bestFit="1" customWidth="1" style="2" min="36" max="36"/>
    <col width="17.88671875" bestFit="1" customWidth="1" style="2" min="37" max="37"/>
    <col width="9.109375" customWidth="1" style="2" min="38" max="39"/>
    <col width="9.109375" customWidth="1" style="2" min="40" max="16384"/>
  </cols>
  <sheetData>
    <row r="3" ht="15" customHeight="1">
      <c r="A3" s="412" t="n"/>
      <c r="B3" s="533" t="inlineStr">
        <is>
          <t>Holding Company</t>
        </is>
      </c>
      <c r="C3" s="534" t="n"/>
      <c r="D3" s="534" t="n"/>
      <c r="E3" s="412" t="n"/>
      <c r="F3" s="412" t="n"/>
      <c r="G3" s="548" t="n"/>
      <c r="H3" s="534" t="n"/>
      <c r="I3" s="1" t="n"/>
      <c r="J3" s="1" t="n"/>
      <c r="K3" s="566" t="inlineStr">
        <is>
          <t xml:space="preserve">                        الشركة القابضة</t>
        </is>
      </c>
      <c r="L3" s="534" t="n"/>
      <c r="M3" s="534" t="n"/>
    </row>
    <row r="4" ht="15" customHeight="1">
      <c r="A4" s="412" t="n"/>
      <c r="B4" s="533" t="inlineStr">
        <is>
          <t>Fayoum Drinking Water and Sanitation Company</t>
        </is>
      </c>
      <c r="C4" s="534" t="n"/>
      <c r="D4" s="534" t="n"/>
      <c r="E4" s="534" t="n"/>
      <c r="F4" s="534" t="n"/>
      <c r="G4" s="534" t="n"/>
      <c r="H4" s="534" t="n"/>
      <c r="I4" s="566" t="inlineStr">
        <is>
          <t>شركة مياه الشرب والصرف الصحى بالفيوم</t>
        </is>
      </c>
      <c r="J4" s="534" t="n"/>
      <c r="K4" s="534" t="n"/>
      <c r="L4" s="534" t="n"/>
      <c r="M4" s="534" t="n"/>
    </row>
    <row r="5" ht="15" customHeight="1">
      <c r="A5" s="412" t="n"/>
      <c r="B5" s="533" t="inlineStr">
        <is>
          <t>Lab. Department</t>
        </is>
      </c>
      <c r="C5" s="534" t="n"/>
      <c r="D5" s="534" t="n"/>
      <c r="E5" s="412" t="n"/>
      <c r="F5" s="412" t="n"/>
      <c r="G5" s="542" t="n"/>
      <c r="H5" s="542" t="n"/>
      <c r="I5" s="551" t="inlineStr">
        <is>
          <t>قطاع المعامل - الادارة العامة لمعامل محطات الصرف الصحى</t>
        </is>
      </c>
      <c r="J5" s="542" t="n"/>
      <c r="K5" s="542" t="n"/>
      <c r="L5" s="542" t="n"/>
      <c r="M5" s="542" t="n"/>
    </row>
    <row r="6" ht="27" customHeight="1">
      <c r="A6" s="412" t="n"/>
      <c r="B6" s="412" t="n"/>
      <c r="C6" s="412" t="n"/>
      <c r="D6" s="412" t="n"/>
      <c r="E6" s="412" t="n"/>
      <c r="F6" s="412" t="n"/>
      <c r="G6" s="417" t="n"/>
      <c r="H6" s="417" t="n"/>
      <c r="I6" s="566" t="n"/>
      <c r="J6" s="417" t="n"/>
      <c r="K6" s="417" t="n"/>
      <c r="L6" s="417" t="n"/>
      <c r="M6" s="417" t="n"/>
    </row>
    <row r="7" ht="20.4" customHeight="1">
      <c r="A7" s="548" t="inlineStr">
        <is>
          <t>Tamiya Sanitation Plant laboratory</t>
        </is>
      </c>
      <c r="B7" s="542" t="n"/>
      <c r="C7" s="542" t="n"/>
      <c r="D7" s="542" t="n"/>
      <c r="E7" s="542" t="n"/>
      <c r="F7" s="3" t="n"/>
      <c r="G7" s="3" t="n"/>
      <c r="H7" s="3" t="n"/>
      <c r="I7" s="3" t="n"/>
      <c r="J7" s="546" t="inlineStr">
        <is>
          <t>معمل محطة معالجة طامية</t>
        </is>
      </c>
      <c r="K7" s="542" t="n"/>
      <c r="L7" s="542" t="n"/>
      <c r="M7" s="542" t="n"/>
    </row>
    <row r="8" ht="20.4" customHeight="1">
      <c r="A8" s="4" t="n"/>
      <c r="B8" s="4" t="n"/>
      <c r="C8" s="5" t="n"/>
      <c r="D8" s="5" t="n"/>
      <c r="E8" s="5" t="n"/>
      <c r="F8" s="6" t="n"/>
      <c r="G8" s="6" t="n"/>
      <c r="H8" s="6" t="n"/>
      <c r="I8" s="6" t="n"/>
      <c r="J8" s="7" t="n"/>
      <c r="K8" s="7" t="n"/>
      <c r="L8" s="8" t="n"/>
      <c r="M8" s="8" t="n"/>
    </row>
    <row r="9" ht="24" customHeight="1" thickBot="1">
      <c r="A9" s="9" t="n"/>
      <c r="B9" s="9" t="n"/>
      <c r="C9" s="556" t="n"/>
      <c r="D9" s="557" t="n"/>
      <c r="E9" s="557" t="n"/>
      <c r="F9" s="557" t="n"/>
      <c r="G9" s="557" t="n"/>
      <c r="H9" s="557" t="n"/>
      <c r="I9" s="557" t="n"/>
      <c r="J9" s="557" t="n"/>
      <c r="K9" s="557" t="n"/>
      <c r="L9" s="10" t="n"/>
    </row>
    <row r="10" ht="24" customHeight="1" thickTop="1">
      <c r="A10" s="9" t="n"/>
      <c r="B10" s="9" t="n"/>
      <c r="C10" s="9" t="n"/>
      <c r="D10" s="11" t="n"/>
      <c r="E10" s="11" t="n"/>
      <c r="F10" s="11" t="n"/>
      <c r="G10" s="11" t="n"/>
      <c r="H10" s="11" t="n"/>
      <c r="I10" s="11" t="n"/>
      <c r="J10" s="10" t="n"/>
      <c r="K10" s="10" t="n"/>
      <c r="L10" s="10" t="n"/>
    </row>
    <row r="11" ht="18" customHeight="1">
      <c r="A11" s="535" t="inlineStr">
        <is>
          <t xml:space="preserve">     Sampling Date :</t>
        </is>
      </c>
      <c r="B11" s="534" t="n"/>
      <c r="C11" s="534" t="n"/>
      <c r="D11" s="752" t="n"/>
      <c r="E11" s="582" t="n"/>
      <c r="F11" s="12" t="n"/>
      <c r="G11" s="13" t="n"/>
      <c r="H11" s="535" t="inlineStr">
        <is>
          <t xml:space="preserve">            Analysis Date :</t>
        </is>
      </c>
      <c r="I11" s="534" t="n"/>
      <c r="J11" s="534" t="n"/>
      <c r="K11" s="752" t="n"/>
      <c r="L11" s="582" t="n"/>
      <c r="M11" s="753" t="n"/>
      <c r="N11" s="19" t="inlineStr">
        <is>
          <t>.</t>
        </is>
      </c>
    </row>
    <row r="12" ht="18" customHeight="1">
      <c r="A12" s="14" t="n"/>
      <c r="B12" s="15" t="n"/>
      <c r="C12" s="15" t="n"/>
      <c r="D12" s="14" t="n"/>
      <c r="E12" s="15" t="n"/>
      <c r="F12" s="15" t="n"/>
      <c r="G12" s="13" t="n"/>
      <c r="H12" s="16" t="n"/>
      <c r="I12" s="17" t="n"/>
      <c r="J12" s="17" t="n"/>
      <c r="K12" s="18" t="n"/>
      <c r="L12" s="17" t="n"/>
      <c r="O12" s="19" t="n"/>
    </row>
    <row r="13" ht="20.25" customHeight="1">
      <c r="A13" s="566" t="n"/>
      <c r="B13" s="566" t="n"/>
      <c r="C13" s="566" t="n"/>
      <c r="D13" s="548" t="inlineStr">
        <is>
          <t>Wastewater Results</t>
        </is>
      </c>
      <c r="E13" s="542" t="n"/>
      <c r="F13" s="542" t="n"/>
      <c r="G13" s="542" t="n"/>
      <c r="H13" s="546" t="inlineStr">
        <is>
          <t>النتـــائـج</t>
        </is>
      </c>
      <c r="I13" s="542" t="n"/>
      <c r="J13" s="542" t="n"/>
      <c r="K13" s="566" t="n"/>
      <c r="L13" s="566" t="n"/>
      <c r="U13" s="19" t="n"/>
    </row>
    <row r="14" ht="32.25" customFormat="1" customHeight="1" s="26">
      <c r="A14" s="538" t="n"/>
      <c r="B14" s="539" t="n"/>
      <c r="C14" s="540" t="n"/>
      <c r="D14" s="20" t="n"/>
      <c r="E14" s="21" t="inlineStr">
        <is>
          <t>pH</t>
        </is>
      </c>
      <c r="F14" s="22" t="inlineStr">
        <is>
          <t>Temp.</t>
        </is>
      </c>
      <c r="G14" s="413" t="inlineStr">
        <is>
          <t xml:space="preserve">TS </t>
        </is>
      </c>
      <c r="H14" s="594" t="inlineStr">
        <is>
          <t>TSS</t>
        </is>
      </c>
      <c r="I14" s="594" t="inlineStr">
        <is>
          <t>TDS</t>
        </is>
      </c>
      <c r="J14" s="23" t="inlineStr">
        <is>
          <t>COD</t>
        </is>
      </c>
      <c r="K14" s="23" t="inlineStr">
        <is>
          <t>DO</t>
        </is>
      </c>
      <c r="L14" s="24" t="inlineStr">
        <is>
          <t xml:space="preserve">   S-2        (as H2S)</t>
        </is>
      </c>
      <c r="M14" s="594" t="inlineStr">
        <is>
          <t>O&amp;G</t>
        </is>
      </c>
      <c r="N14" s="25" t="inlineStr">
        <is>
          <t>Residual  Cl2</t>
        </is>
      </c>
      <c r="O14" s="2" t="n"/>
      <c r="P14" s="2" t="n"/>
      <c r="Q14" s="2" t="n"/>
      <c r="R14" s="2" t="n"/>
      <c r="S14" s="2" t="n"/>
      <c r="T14" s="2" t="n"/>
      <c r="U14" s="2" t="n"/>
    </row>
    <row r="15" ht="19.5" customHeight="1">
      <c r="A15" s="541" t="n"/>
      <c r="B15" s="542" t="n"/>
      <c r="C15" s="543" t="n"/>
      <c r="D15" s="538" t="inlineStr">
        <is>
          <t>Unit</t>
        </is>
      </c>
      <c r="E15" s="27" t="n"/>
      <c r="F15" s="28" t="inlineStr">
        <is>
          <t>°c</t>
        </is>
      </c>
      <c r="G15" s="29" t="inlineStr">
        <is>
          <t>mg/l</t>
        </is>
      </c>
      <c r="H15" s="536" t="inlineStr">
        <is>
          <t>mg/l</t>
        </is>
      </c>
      <c r="I15" s="536" t="inlineStr">
        <is>
          <t>mg/l</t>
        </is>
      </c>
      <c r="J15" s="536" t="inlineStr">
        <is>
          <t>mg/l</t>
        </is>
      </c>
      <c r="K15" s="536" t="inlineStr">
        <is>
          <t>mg/l</t>
        </is>
      </c>
      <c r="L15" s="536" t="inlineStr">
        <is>
          <t>mg/l</t>
        </is>
      </c>
      <c r="M15" s="536" t="inlineStr">
        <is>
          <t>mg/l</t>
        </is>
      </c>
      <c r="N15" s="30" t="inlineStr">
        <is>
          <t>mg/l</t>
        </is>
      </c>
      <c r="O15" s="26" t="n"/>
      <c r="P15" s="26" t="n"/>
      <c r="Q15" s="26" t="n"/>
      <c r="S15" s="26" t="n"/>
      <c r="T15" s="26" t="n"/>
    </row>
    <row r="16" ht="30" customHeight="1">
      <c r="A16" s="549" t="inlineStr">
        <is>
          <t xml:space="preserve">Influent                 الدخول </t>
        </is>
      </c>
      <c r="B16" s="550" t="n"/>
      <c r="C16" s="537" t="n"/>
      <c r="D16" s="31" t="n"/>
      <c r="E16" s="32" t="n"/>
      <c r="F16" s="754" t="n"/>
      <c r="G16" s="33">
        <f>'TS &amp; VS'!D21</f>
        <v/>
      </c>
      <c r="H16" s="33">
        <f>IFERROR(TSS!E27,"")</f>
        <v/>
      </c>
      <c r="I16" s="33">
        <f>IFERROR(IF(TDS!F25=0,"",TDS!F25),"")</f>
        <v/>
      </c>
      <c r="J16" s="755">
        <f>IFERROR(COD!$L$19,"")</f>
        <v/>
      </c>
      <c r="K16" s="34" t="n"/>
      <c r="L16" s="36">
        <f>Sulfide!$C$14</f>
        <v/>
      </c>
      <c r="M16" s="755">
        <f>IFERROR('O&amp;G'!H23,"")</f>
        <v/>
      </c>
      <c r="N16" s="35" t="n"/>
      <c r="R16" s="26" t="n"/>
    </row>
    <row r="17" ht="22.5" customHeight="1">
      <c r="A17" s="572" t="inlineStr">
        <is>
          <t xml:space="preserve">  Effluent           السيب النهائى</t>
        </is>
      </c>
      <c r="B17" s="539" t="n"/>
      <c r="C17" s="540" t="n"/>
      <c r="D17" s="414" t="inlineStr">
        <is>
          <t>المعايير</t>
        </is>
      </c>
      <c r="E17" s="346" t="inlineStr">
        <is>
          <t>6.5 - 9</t>
        </is>
      </c>
      <c r="F17" s="346" t="inlineStr">
        <is>
          <t>15-35</t>
        </is>
      </c>
      <c r="G17" s="347" t="n"/>
      <c r="H17" s="346" t="n">
        <v>50</v>
      </c>
      <c r="I17" s="346" t="inlineStr">
        <is>
          <t>&lt;2000</t>
        </is>
      </c>
      <c r="J17" s="346" t="inlineStr">
        <is>
          <t>&lt;80</t>
        </is>
      </c>
      <c r="K17" s="346" t="inlineStr">
        <is>
          <t>&gt;4</t>
        </is>
      </c>
      <c r="L17" s="346" t="inlineStr">
        <is>
          <t>&lt;=1</t>
        </is>
      </c>
      <c r="M17" s="346" t="inlineStr">
        <is>
          <t>&lt;10</t>
        </is>
      </c>
      <c r="N17" s="346" t="inlineStr">
        <is>
          <t>0.5 - 1</t>
        </is>
      </c>
    </row>
    <row r="18" ht="29.25" customHeight="1">
      <c r="A18" s="541" t="n"/>
      <c r="B18" s="542" t="n"/>
      <c r="C18" s="543" t="n"/>
      <c r="D18" s="414" t="inlineStr">
        <is>
          <t>النتائج</t>
        </is>
      </c>
      <c r="E18" s="32" t="n"/>
      <c r="F18" s="754" t="n"/>
      <c r="G18" s="33">
        <f>'TS &amp; VS'!E21</f>
        <v/>
      </c>
      <c r="H18" s="33">
        <f>IFERROR(TSS!H27,"")</f>
        <v/>
      </c>
      <c r="I18" s="33">
        <f>IFERROR(IF(TDS!G25=0,"",TDS!G25),"")</f>
        <v/>
      </c>
      <c r="J18" s="755">
        <f>IFERROR(COD!K19,"")</f>
        <v/>
      </c>
      <c r="K18" s="36">
        <f>IFERROR(IF(AND(DO!$D$13=0,E18=""),"",IF(DO!$D$13=0,"NA",DO!$D$13)),"")</f>
        <v/>
      </c>
      <c r="L18" s="36">
        <f>IFERROR(IF(AND(Sulfide!$D$14=0,E18=""),"",IF(Sulfide!$D$14=0,"NA",Sulfide!$D$14)),"")</f>
        <v/>
      </c>
      <c r="M18" s="755">
        <f>IFERROR('O&amp;G'!I23,"")</f>
        <v/>
      </c>
      <c r="N18" s="32" t="n"/>
    </row>
    <row r="19" ht="24.75" customHeight="1">
      <c r="A19" s="595" t="inlineStr">
        <is>
          <t>Efficiency Removal %</t>
        </is>
      </c>
      <c r="B19" s="550" t="n"/>
      <c r="C19" s="537" t="n"/>
      <c r="D19" s="579" t="n"/>
      <c r="E19" s="550" t="n"/>
      <c r="F19" s="550" t="n"/>
      <c r="G19" s="537" t="n"/>
      <c r="H19" s="37">
        <f>Efficiency!H8</f>
        <v/>
      </c>
      <c r="I19" s="38" t="n"/>
      <c r="J19" s="37">
        <f>Efficiency!J8</f>
        <v/>
      </c>
      <c r="K19" s="579" t="n"/>
      <c r="L19" s="550" t="n"/>
      <c r="M19" s="550" t="n"/>
      <c r="N19" s="537" t="n"/>
      <c r="O19" s="534" t="n"/>
      <c r="R19" s="39" t="n"/>
    </row>
    <row r="20" ht="27" customHeight="1">
      <c r="E20" s="548" t="inlineStr">
        <is>
          <t>Operation Test</t>
        </is>
      </c>
      <c r="F20" s="542" t="n"/>
      <c r="G20" s="542" t="n"/>
      <c r="H20" s="546" t="inlineStr">
        <is>
          <t>اختبارات التشغيل</t>
        </is>
      </c>
      <c r="I20" s="542" t="n"/>
      <c r="J20" s="542" t="n"/>
      <c r="O20" s="26" t="n"/>
      <c r="P20" s="26" t="n"/>
      <c r="U20" s="26" t="n"/>
      <c r="V20" s="26" t="n"/>
      <c r="W20" s="26" t="n"/>
    </row>
    <row r="21" ht="20.25" customHeight="1">
      <c r="A21" s="567" t="n"/>
      <c r="B21" s="539" t="n"/>
      <c r="C21" s="540" t="n"/>
      <c r="D21" s="40" t="n"/>
      <c r="E21" s="547" t="inlineStr">
        <is>
          <t>TSS</t>
        </is>
      </c>
      <c r="F21" s="537" t="n"/>
      <c r="G21" s="563" t="inlineStr">
        <is>
          <t>SV30</t>
        </is>
      </c>
      <c r="H21" s="594" t="inlineStr">
        <is>
          <t>SVI</t>
        </is>
      </c>
      <c r="I21" s="594" t="inlineStr">
        <is>
          <t>DO</t>
        </is>
      </c>
      <c r="J21" s="563" t="inlineStr">
        <is>
          <t>VSS</t>
        </is>
      </c>
      <c r="K21" s="41" t="inlineStr">
        <is>
          <t>Dry Sludge TS%</t>
        </is>
      </c>
      <c r="L21" s="563" t="inlineStr">
        <is>
          <t>Microscopic Examination</t>
        </is>
      </c>
      <c r="M21" s="550" t="n"/>
      <c r="N21" s="550" t="n"/>
    </row>
    <row r="22" ht="37.5" customHeight="1">
      <c r="A22" s="541" t="n"/>
      <c r="B22" s="542" t="n"/>
      <c r="C22" s="543" t="n"/>
      <c r="D22" s="30" t="inlineStr">
        <is>
          <t>Range</t>
        </is>
      </c>
      <c r="E22" s="588" t="inlineStr">
        <is>
          <t>3000 - 5000</t>
        </is>
      </c>
      <c r="F22" s="537" t="n"/>
      <c r="G22" s="415" t="inlineStr">
        <is>
          <t>ml/l</t>
        </is>
      </c>
      <c r="H22" s="406" t="inlineStr">
        <is>
          <t>80 - 120 ml/g</t>
        </is>
      </c>
      <c r="I22" s="406" t="inlineStr">
        <is>
          <t>1-3 mg/l</t>
        </is>
      </c>
      <c r="J22" s="416" t="inlineStr">
        <is>
          <t>mg/l</t>
        </is>
      </c>
      <c r="K22" s="42" t="n"/>
      <c r="L22" s="588" t="inlineStr">
        <is>
          <t>Microrganism</t>
        </is>
      </c>
      <c r="M22" s="537" t="n"/>
      <c r="N22" s="698" t="inlineStr">
        <is>
          <t>Found</t>
        </is>
      </c>
      <c r="AJ22" s="407" t="inlineStr">
        <is>
          <t>Many</t>
        </is>
      </c>
      <c r="AK22" s="407" t="inlineStr">
        <is>
          <t>Ciliates</t>
        </is>
      </c>
    </row>
    <row r="23" ht="24" customHeight="1">
      <c r="A23" s="580" t="inlineStr">
        <is>
          <t>Aeration tank 1</t>
        </is>
      </c>
      <c r="B23" s="550" t="n"/>
      <c r="C23" s="537" t="n"/>
      <c r="D23" s="560" t="inlineStr">
        <is>
          <t>النتائج Results</t>
        </is>
      </c>
      <c r="E23" s="555" t="n"/>
      <c r="F23" s="537" t="n"/>
      <c r="G23" s="563" t="n"/>
      <c r="H23" s="403" t="n"/>
      <c r="I23" s="36">
        <f>IF(G23="متوقف","متوقف",IF(DO!$O$6=0,"",DO!$O$6))</f>
        <v/>
      </c>
      <c r="J23" s="404" t="n"/>
      <c r="K23" s="43" t="n"/>
      <c r="L23" s="544" t="n"/>
      <c r="M23" s="545" t="n"/>
      <c r="N23" s="408" t="n"/>
      <c r="Q23" s="19" t="n"/>
      <c r="R23" s="19" t="n"/>
      <c r="AJ23" s="407" t="inlineStr">
        <is>
          <t>Few</t>
        </is>
      </c>
      <c r="AK23" s="407" t="inlineStr">
        <is>
          <t>Stacked Ciliates</t>
        </is>
      </c>
    </row>
    <row r="24" ht="24.75" customHeight="1">
      <c r="A24" s="580" t="inlineStr">
        <is>
          <t>Aeration tank 2</t>
        </is>
      </c>
      <c r="B24" s="550" t="n"/>
      <c r="C24" s="537" t="n"/>
      <c r="D24" s="561" t="n"/>
      <c r="E24" s="555" t="n"/>
      <c r="F24" s="537" t="n"/>
      <c r="G24" s="563" t="n"/>
      <c r="H24" s="403" t="n"/>
      <c r="I24" s="36">
        <f>IF(G24="متوقف","متوقف",IF(DO!$O$8=0,"",DO!$O$8))</f>
        <v/>
      </c>
      <c r="J24" s="404" t="n"/>
      <c r="K24" s="43" t="n"/>
      <c r="L24" s="544" t="n"/>
      <c r="M24" s="545" t="n"/>
      <c r="N24" s="408" t="n"/>
      <c r="Q24" s="44" t="n"/>
      <c r="R24" s="26" t="n"/>
      <c r="S24" s="26" t="n"/>
      <c r="AJ24" s="407" t="inlineStr">
        <is>
          <t>Dominant</t>
        </is>
      </c>
      <c r="AK24" s="407" t="inlineStr">
        <is>
          <t>Flagellates</t>
        </is>
      </c>
    </row>
    <row r="25" ht="30" customHeight="1">
      <c r="A25" s="576" t="inlineStr">
        <is>
          <t xml:space="preserve"> Mixed Liquour  مجمع حوض التهوية</t>
        </is>
      </c>
      <c r="B25" s="550" t="n"/>
      <c r="C25" s="537" t="n"/>
      <c r="D25" s="561" t="n"/>
      <c r="E25" s="568">
        <f>TSS!F27</f>
        <v/>
      </c>
      <c r="F25" s="569" t="n"/>
      <c r="G25" s="563" t="n"/>
      <c r="H25" s="409">
        <f>IFERROR((G25*1000)/E25,"")</f>
        <v/>
      </c>
      <c r="I25" s="36">
        <f>IF(G25="متوقف","متوقف",IF(DO!$D$16=0,"",DO!$D$16))</f>
        <v/>
      </c>
      <c r="J25" s="756">
        <f>'TS &amp; VS'!G21</f>
        <v/>
      </c>
      <c r="K25" s="255" t="n"/>
      <c r="L25" s="544" t="n"/>
      <c r="M25" s="545" t="n"/>
      <c r="N25" s="408" t="n"/>
      <c r="Q25" s="44" t="n"/>
      <c r="AJ25" s="219" t="n"/>
      <c r="AK25" s="407" t="inlineStr">
        <is>
          <t>Amoeba</t>
        </is>
      </c>
    </row>
    <row r="26" ht="23.25" customHeight="1">
      <c r="A26" s="536" t="inlineStr">
        <is>
          <t xml:space="preserve">RAS            الحمأة الراجعة   </t>
        </is>
      </c>
      <c r="B26" s="550" t="n"/>
      <c r="C26" s="537" t="n"/>
      <c r="D26" s="561" t="n"/>
      <c r="E26" s="568">
        <f>TSS!G27</f>
        <v/>
      </c>
      <c r="F26" s="569" t="n"/>
      <c r="G26" s="402" t="n"/>
      <c r="H26" s="403" t="n"/>
      <c r="I26" s="403" t="n"/>
      <c r="J26" s="756">
        <f>'TS &amp; VS'!H21</f>
        <v/>
      </c>
      <c r="K26" s="43" t="n"/>
      <c r="L26" s="544" t="n"/>
      <c r="M26" s="545" t="n"/>
      <c r="N26" s="408" t="n"/>
      <c r="AJ26" s="219" t="n"/>
      <c r="AK26" s="407" t="inlineStr">
        <is>
          <t>Rotifera</t>
        </is>
      </c>
    </row>
    <row r="27" ht="25.5" customHeight="1">
      <c r="A27" s="558" t="inlineStr">
        <is>
          <t xml:space="preserve">       Thickener   مغلظ الحمأة        </t>
        </is>
      </c>
      <c r="B27" s="550" t="n"/>
      <c r="C27" s="537" t="n"/>
      <c r="D27" s="562" t="n"/>
      <c r="E27" s="568">
        <f>'TS &amp; VS'!F21</f>
        <v/>
      </c>
      <c r="F27" s="569" t="n"/>
      <c r="G27" s="402" t="n"/>
      <c r="H27" s="403" t="n"/>
      <c r="I27" s="403" t="n"/>
      <c r="J27" s="405" t="n"/>
      <c r="K27" s="757">
        <f>IFERROR('WC%'!E5,"")</f>
        <v/>
      </c>
      <c r="L27" s="544" t="n"/>
      <c r="M27" s="545" t="n"/>
      <c r="N27" s="408" t="n"/>
      <c r="W27" s="12" t="n"/>
      <c r="AJ27" s="219" t="n"/>
      <c r="AK27" s="407" t="inlineStr">
        <is>
          <t>Worm</t>
        </is>
      </c>
    </row>
    <row r="28" ht="13.5" customHeight="1">
      <c r="E28" s="19" t="n"/>
      <c r="F28" s="19" t="n"/>
      <c r="G28" s="1" t="n"/>
      <c r="I28" s="566" t="n"/>
      <c r="S28" s="13" t="n"/>
      <c r="U28" s="19" t="n"/>
      <c r="V28" s="19" t="n"/>
      <c r="W28" s="19" t="n"/>
      <c r="Z28" s="19" t="n"/>
      <c r="AJ28" s="219" t="n"/>
      <c r="AK28" s="407" t="inlineStr">
        <is>
          <t>Water Bear</t>
        </is>
      </c>
    </row>
    <row r="29" ht="23.25" customHeight="1">
      <c r="A29" s="45" t="n"/>
      <c r="B29" s="45" t="n"/>
      <c r="C29" s="595" t="inlineStr">
        <is>
          <t>MCRT</t>
        </is>
      </c>
      <c r="D29" s="755">
        <f>IFERROR('BOD5'!D39,"")</f>
        <v/>
      </c>
      <c r="E29" s="46" t="n"/>
      <c r="F29" s="46" t="n"/>
      <c r="G29" s="595" t="inlineStr">
        <is>
          <t>F/M</t>
        </is>
      </c>
      <c r="H29" s="36">
        <f>IFERROR('BOD5'!C32,"")</f>
        <v/>
      </c>
      <c r="I29" s="46" t="n"/>
      <c r="J29" s="47">
        <f>'BOD5'!B42</f>
        <v/>
      </c>
      <c r="K29" s="36">
        <f>IFERROR(ABS('BOD5'!C42),"")</f>
        <v/>
      </c>
      <c r="L29" s="595" t="inlineStr">
        <is>
          <t>Ope Time</t>
        </is>
      </c>
      <c r="M29" s="36">
        <f>IFERROR(K29/504,"")</f>
        <v/>
      </c>
      <c r="S29" s="48" t="n"/>
      <c r="AJ29" s="219" t="n"/>
      <c r="AK29" s="219" t="inlineStr">
        <is>
          <t>Filamentous</t>
        </is>
      </c>
    </row>
    <row r="30" ht="39.75" customHeight="1">
      <c r="A30" s="549" t="inlineStr">
        <is>
          <t xml:space="preserve">Location        مكان العينة   </t>
        </is>
      </c>
      <c r="B30" s="550" t="n"/>
      <c r="C30" s="537" t="n"/>
      <c r="D30" s="559" t="inlineStr">
        <is>
          <t>Influent         الدخول</t>
        </is>
      </c>
      <c r="E30" s="550" t="n"/>
      <c r="F30" s="550" t="n"/>
      <c r="G30" s="537" t="n"/>
      <c r="H30" s="577" t="inlineStr">
        <is>
          <t xml:space="preserve">Treated Effluent    السيب النهائى          </t>
        </is>
      </c>
      <c r="I30" s="550" t="n"/>
      <c r="J30" s="550" t="n"/>
      <c r="K30" s="550" t="n"/>
      <c r="L30" s="550" t="n"/>
      <c r="M30" s="564" t="n"/>
      <c r="N30" s="537" t="n"/>
      <c r="W30" s="12" t="n"/>
      <c r="AJ30" s="219" t="n"/>
      <c r="AK30" s="219" t="n"/>
    </row>
    <row r="31" ht="23.25" customHeight="1">
      <c r="A31" s="549" t="inlineStr">
        <is>
          <t>Parameter</t>
        </is>
      </c>
      <c r="B31" s="550" t="n"/>
      <c r="C31" s="537" t="n"/>
      <c r="D31" s="594" t="inlineStr">
        <is>
          <t>BOD5</t>
        </is>
      </c>
      <c r="E31" s="550" t="n"/>
      <c r="F31" s="550" t="n"/>
      <c r="G31" s="550" t="n"/>
      <c r="H31" s="550" t="n"/>
      <c r="I31" s="550" t="n"/>
      <c r="J31" s="537" t="n"/>
      <c r="K31" s="590" t="inlineStr">
        <is>
          <t>Turbidity</t>
        </is>
      </c>
      <c r="L31" s="537" t="n"/>
      <c r="M31" s="590" t="inlineStr">
        <is>
          <t>Total coliform</t>
        </is>
      </c>
      <c r="N31" s="537" t="n"/>
      <c r="W31" s="12" t="n"/>
    </row>
    <row r="32" ht="21" customHeight="1">
      <c r="A32" s="549" t="inlineStr">
        <is>
          <t>Unit                    الوحدة</t>
        </is>
      </c>
      <c r="B32" s="550" t="n"/>
      <c r="C32" s="537" t="n"/>
      <c r="D32" s="536" t="inlineStr">
        <is>
          <t>mg/l</t>
        </is>
      </c>
      <c r="E32" s="550" t="n"/>
      <c r="F32" s="550" t="n"/>
      <c r="G32" s="537" t="n"/>
      <c r="H32" s="580" t="inlineStr">
        <is>
          <t>mg/l</t>
        </is>
      </c>
      <c r="I32" s="550" t="n"/>
      <c r="J32" s="537" t="n"/>
      <c r="K32" s="580" t="inlineStr">
        <is>
          <t>NTU</t>
        </is>
      </c>
      <c r="L32" s="537" t="n"/>
      <c r="M32" s="536" t="inlineStr">
        <is>
          <t>MPN/100ml</t>
        </is>
      </c>
      <c r="N32" s="537" t="n"/>
      <c r="O32" s="19" t="n"/>
      <c r="P32" s="19" t="n"/>
      <c r="R32" s="19" t="n"/>
      <c r="U32" s="19" t="n"/>
      <c r="V32" s="19" t="n"/>
      <c r="W32" s="19" t="n"/>
      <c r="Z32" s="19" t="n"/>
    </row>
    <row r="33" ht="21.75" customHeight="1">
      <c r="A33" s="549" t="inlineStr">
        <is>
          <t>Criteria             المعايير</t>
        </is>
      </c>
      <c r="B33" s="550" t="n"/>
      <c r="C33" s="537" t="n"/>
      <c r="D33" s="588" t="inlineStr">
        <is>
          <t xml:space="preserve">      500   طبقا لتصميم المحطة   </t>
        </is>
      </c>
      <c r="E33" s="550" t="n"/>
      <c r="F33" s="550" t="n"/>
      <c r="G33" s="537" t="n"/>
      <c r="H33" s="580" t="inlineStr">
        <is>
          <t>&lt;60</t>
        </is>
      </c>
      <c r="I33" s="550" t="n"/>
      <c r="J33" s="537" t="n"/>
      <c r="K33" s="580" t="inlineStr">
        <is>
          <t>&lt;10</t>
        </is>
      </c>
      <c r="L33" s="537" t="n"/>
      <c r="M33" s="601">
        <f>CONCATENATE("&lt; ",5,"X",10,CHAR(179))</f>
        <v/>
      </c>
      <c r="N33" s="537" t="n"/>
    </row>
    <row r="34" ht="24" customHeight="1">
      <c r="A34" s="549" t="inlineStr">
        <is>
          <t xml:space="preserve">Results               النتائج  </t>
        </is>
      </c>
      <c r="B34" s="550" t="n"/>
      <c r="C34" s="537" t="n"/>
      <c r="D34" s="755">
        <f>IFERROR('BOD5'!$J$29,"")</f>
        <v/>
      </c>
      <c r="E34" s="553" t="n"/>
      <c r="F34" s="553" t="n"/>
      <c r="G34" s="554" t="n"/>
      <c r="H34" s="755">
        <f>IFERROR('BOD5'!$L$29,"")</f>
        <v/>
      </c>
      <c r="I34" s="553" t="n"/>
      <c r="J34" s="554" t="n"/>
      <c r="K34" s="536" t="n"/>
      <c r="L34" s="537" t="n"/>
      <c r="M34" s="578" t="n"/>
      <c r="N34" s="537" t="n"/>
    </row>
    <row r="35" ht="24.75" customHeight="1" thickBot="1">
      <c r="A35" s="595" t="inlineStr">
        <is>
          <t>Efficiency Removal %</t>
        </is>
      </c>
      <c r="B35" s="550" t="n"/>
      <c r="C35" s="537" t="n"/>
      <c r="D35" s="579" t="n"/>
      <c r="E35" s="550" t="n"/>
      <c r="F35" s="550" t="n"/>
      <c r="G35" s="537" t="n"/>
      <c r="H35" s="585">
        <f>Efficiency!L8</f>
        <v/>
      </c>
      <c r="I35" s="586" t="n"/>
      <c r="J35" s="587" t="n"/>
      <c r="K35" s="579" t="n"/>
      <c r="L35" s="550" t="n"/>
      <c r="M35" s="550" t="n"/>
      <c r="N35" s="537" t="n"/>
    </row>
    <row r="36" ht="18" customHeight="1" thickTop="1">
      <c r="B36" s="591" t="inlineStr">
        <is>
          <t>نتائج مقاس عمود الحمأة</t>
        </is>
      </c>
      <c r="C36" s="592" t="n"/>
      <c r="D36" s="592" t="n"/>
      <c r="E36" s="592" t="n"/>
      <c r="F36" s="593" t="n"/>
      <c r="G36" s="591" t="inlineStr">
        <is>
          <t>Results interpretation</t>
        </is>
      </c>
      <c r="H36" s="592" t="n"/>
      <c r="I36" s="592" t="n"/>
      <c r="J36" s="592" t="n"/>
      <c r="K36" s="592" t="n"/>
      <c r="L36" s="592" t="n"/>
      <c r="M36" s="593" t="n"/>
      <c r="Q36" s="19" t="n"/>
      <c r="S36" s="19" t="n"/>
    </row>
    <row r="37" ht="15.6" customHeight="1">
      <c r="B37" s="600">
        <f>IF(ISBLANK(Observation!E6),"",Observation!E6)</f>
        <v/>
      </c>
      <c r="C37" s="574" t="n"/>
      <c r="D37" s="574" t="n"/>
      <c r="E37" s="574" t="n"/>
      <c r="F37" s="575" t="n"/>
      <c r="G37" s="589" t="n"/>
      <c r="H37" s="574" t="n"/>
      <c r="I37" s="574" t="n"/>
      <c r="J37" s="574" t="n"/>
      <c r="K37" s="574" t="n"/>
      <c r="L37" s="574" t="n"/>
      <c r="M37" s="575" t="n"/>
    </row>
    <row r="38" ht="15.6" customHeight="1">
      <c r="B38" s="596">
        <f>IF(ISBLANK(Observation!E7),"",Observation!E7)</f>
        <v/>
      </c>
      <c r="C38" s="597" t="n"/>
      <c r="D38" s="597" t="n"/>
      <c r="E38" s="597" t="n"/>
      <c r="F38" s="598" t="n"/>
      <c r="G38" s="599" t="n"/>
      <c r="H38" s="597" t="n"/>
      <c r="I38" s="597" t="n"/>
      <c r="J38" s="597" t="n"/>
      <c r="K38" s="597" t="n"/>
      <c r="L38" s="597" t="n"/>
      <c r="M38" s="598" t="n"/>
      <c r="Q38" s="19" t="n"/>
    </row>
    <row r="39" ht="15.6" customHeight="1">
      <c r="B39" s="573">
        <f>IF(OR(E16="",Observation!B3="بنية خفيفة"),"","برجاء")&amp;" "&amp;IF(OR(AND(TSS!G21&gt;0.8,TSS!G21&lt;&gt;""),AND(OR(Observation!C6="حمأة متضخمة",Observation!C7="حمأة متضخمة"),'BOD5'!C32&gt;0.4,'BOD5'!O38&gt;23),Observation!D5="ترسيب سريع مع ندف في حجم رأس الدبوس في ماء عكر",Observation!B3="رمادية",'BOD5'!C32&lt;0.05,AND('BOD5'!D39&gt;30,'BOD5'!D39&lt;&gt;""),AND('BOD5'!C57&gt;6,'BOD5'!C57&lt;&gt;"")),"زيادة معدل صرف الحمأة الزائدة حتى 10%","")&amp;IF(OR(Observation!C6="حمأة متضخمة نتيجة بكتيريا خيطية ",Observation!C7="حمأة متضخمة نتيجة بكتيريا خيطية "),IF(AND(Main!E16&lt;6.5,Main!E16&lt;&gt;""),"احتمال وجود صرف صناعى برجاء تفريغ المحطة من الحمأة و إبلاغ إدارة الصرف الصناعى"," مراجعة نسبة المغذيات فى دخول المحطة"),"")&amp;IF(AND(Observation!F5="قبل ساعتين ",Observation!G5="قبل ساعتين "),IF('BOD5'!O38&lt;23,"زيادة معدل الحمأة المنشطة الراجعة",""),IF(AND(Observation!F5="قبل ساعتين ",Observation!G5="أكثر من ساعتين")," قياس الزيوت و الشحوم في مياه السيب النهائى",""))&amp;IF(OR(Observation!C6="حمأة متضخمة نتيجة بكتيريا خيطية ",Observation!C7="حمأة متضخمة نتيجة بكتيريا خيطية ",AND(OR(Main!K23&gt;3,Main!K24&gt;3,Main!K25&gt;3,Main!K23&lt;1,Main!K24&lt;1,Main!K25&lt;1),Main!K23&lt;&gt;"",Main!K24&lt;&gt;"",Main!K25&lt;&gt;"")),IF(OR(Main!K23&lt;1,Main!K24&lt;1,Main!K25&lt;1)," رفع نسبة الأكسجين الذائب فى أحواض التهوية من 1 إلى 3 مجم/لتر"," ضبط نسبة الأكسجين الذائب فى أحواض التهوية من 1 إلى 2 مجم/لتر"),"")&amp;IF(AND(Observation!C6="حمأة بنية مع حمأة سوداء",Observation!C7="حمأة بنية مع حمأة سوداء"),"  فحص عمل أحواض الترسيب النهائى",IF(OR(Observation!C6="حمأة بنية مع حمأة سوداء",Observation!C7="حمأة بنية مع حمأة سوداء")," فحص عمل " &amp; INDEX(Observation!A6:'Observation'!E7,MATCH("حمأة بنية مع حمأة سوداء",Observation!C6:'Observation'!C7,0),1),""))</f>
        <v/>
      </c>
      <c r="C39" s="574" t="n"/>
      <c r="D39" s="574" t="n"/>
      <c r="E39" s="574" t="n"/>
      <c r="F39" s="574" t="n"/>
      <c r="G39" s="574" t="n"/>
      <c r="H39" s="574" t="n"/>
      <c r="I39" s="574" t="n"/>
      <c r="J39" s="574" t="n"/>
      <c r="K39" s="574" t="n"/>
      <c r="L39" s="574" t="n"/>
      <c r="M39" s="575" t="n"/>
    </row>
    <row r="40" ht="15.6" customHeight="1">
      <c r="B40" s="583">
        <f>IF(Observation!F5="قبل ساعتين "," صعود الحمأة في المخبار قبل مرور الساعتين ","")</f>
        <v/>
      </c>
      <c r="C40" s="582" t="n"/>
      <c r="D40" s="582" t="n"/>
      <c r="E40" s="582" t="n"/>
      <c r="F40" s="582" t="n"/>
      <c r="G40" s="582" t="n"/>
      <c r="H40" s="582" t="n"/>
      <c r="I40" s="582" t="n"/>
      <c r="J40" s="582" t="n"/>
      <c r="K40" s="582" t="n"/>
      <c r="L40" s="582" t="n"/>
      <c r="M40" s="584" t="n"/>
      <c r="O40" s="19" t="n"/>
    </row>
    <row r="41" ht="15.6" customHeight="1">
      <c r="B41" s="583">
        <f>IF(OR(E27="",E27="متوقف"),""," برجاء ضخ الحمأة المغلظة لمدة " &amp;ROUND('BOD5'!C75,0) &amp; " ساعة")</f>
        <v/>
      </c>
      <c r="C41" s="582" t="n"/>
      <c r="D41" s="582" t="n"/>
      <c r="E41" s="582" t="n"/>
      <c r="F41" s="582" t="n"/>
      <c r="G41" s="582" t="n"/>
      <c r="H41" s="582" t="n"/>
      <c r="I41" s="582" t="n"/>
      <c r="J41" s="582" t="n"/>
      <c r="K41" s="582" t="n"/>
      <c r="L41" s="582" t="n"/>
      <c r="M41" s="584" t="n"/>
    </row>
    <row r="42" ht="15.6" customHeight="1">
      <c r="B42" s="583">
        <f>IF(OR(B37="",B38=""),"",IF(ABS(Observation!E6-Observation!E7)&gt;MIN(Observation!E6:'Observation'!E7)*0.2," احتمال وجود سدة بين  " &amp; INDEX(Observation!A6:'Observation'!E7,MATCH(MAX(Observation!E6:'Observation'!E7),Observation!E6:'Observation'!E7,0),1)&amp; " و بيارة الحمأة ",""))</f>
        <v/>
      </c>
      <c r="C42" s="582" t="n"/>
      <c r="D42" s="582" t="n"/>
      <c r="E42" s="582" t="n"/>
      <c r="F42" s="582" t="n"/>
      <c r="G42" s="582" t="n"/>
      <c r="H42" s="582" t="n"/>
      <c r="I42" s="582" t="n"/>
      <c r="J42" s="582" t="n"/>
      <c r="K42" s="582" t="n"/>
      <c r="L42" s="582" t="n"/>
      <c r="M42" s="584" t="n"/>
      <c r="Q42" s="49" t="n"/>
      <c r="R42" s="49" t="n"/>
    </row>
    <row r="43" ht="15.6" customHeight="1">
      <c r="B43" s="583">
        <f>IF(OR(Observation!B3="سوداء",Observation!B4="سوداء"),"احتمال وجود صرف صناعى برجاء تفريغ المحطة من الحمأة و إبلاغ إدارة الصرف الصناعى ",IF(OR(Observation!B6="وجود رغوة بيضاء",Observation!B7="وجود رغوة بيضاء"),"احتمال دخول زيوت و شحوم ويتم إبلاغ إدارة الصرف الصناعى",""))</f>
        <v/>
      </c>
      <c r="C43" s="582" t="n"/>
      <c r="D43" s="582" t="n"/>
      <c r="E43" s="582" t="n"/>
      <c r="F43" s="582" t="n"/>
      <c r="G43" s="582" t="n"/>
      <c r="H43" s="582" t="n"/>
      <c r="I43" s="582" t="n"/>
      <c r="J43" s="582" t="n"/>
      <c r="K43" s="582" t="n"/>
      <c r="L43" s="582" t="n"/>
      <c r="M43" s="584" t="n"/>
      <c r="Q43" s="49" t="n"/>
      <c r="R43" s="49" t="n"/>
    </row>
    <row r="44" ht="15.6" customHeight="1">
      <c r="B44" s="583">
        <f>IFERROR(IF(OR(N18="متوقف",N18="Nil",IF(ISNUMBER(SEARCH("كلور",B46)),TRUE,FALSE)),"",IF(AND(Observation!C9="",OR(N18&lt;0.5,N18&gt;1),N18&lt;&gt;""),"برجاء ضبط الكلور حسب النسب المسموحة من 0.5 الى 1 مجم/لتر",IF(Observation!C9="","","برجاء إيقاف الكلور لوجود " &amp; Observation!C9))),"")</f>
        <v/>
      </c>
      <c r="C44" s="582" t="n"/>
      <c r="D44" s="582" t="n"/>
      <c r="E44" s="582" t="n"/>
      <c r="F44" s="582" t="n"/>
      <c r="G44" s="582" t="n"/>
      <c r="H44" s="582" t="n"/>
      <c r="I44" s="582" t="n"/>
      <c r="J44" s="582" t="n"/>
      <c r="K44" s="582" t="n"/>
      <c r="L44" s="582" t="n"/>
      <c r="M44" s="584" t="n"/>
      <c r="Q44" s="49" t="n"/>
      <c r="R44" s="49" t="n"/>
    </row>
    <row r="45" ht="15.6" customHeight="1">
      <c r="B45" s="583">
        <f>IF(ISNUMBER(FIND("الأكسجين",$B$39)),"",IF(AND(OR(Main!K23&gt;3,Main!K24&gt;3,Main!K25&gt;3,Main!K23&lt;1,Main!K24&lt;1,Main!K25&lt;1),Main!K23&lt;&gt;"",Main!K24&lt;&gt;"",Main!K25&lt;&gt;""), " برجاء ضبط الأكسجين فى أحواض التهوية بين 2 و 3 مجم/لتر ", ""))</f>
        <v/>
      </c>
      <c r="C45" s="582" t="n"/>
      <c r="D45" s="582" t="n"/>
      <c r="E45" s="582" t="n"/>
      <c r="F45" s="582" t="n"/>
      <c r="G45" s="582" t="n"/>
      <c r="H45" s="582" t="n"/>
      <c r="I45" s="582" t="n"/>
      <c r="J45" s="582" t="n"/>
      <c r="K45" s="582" t="n"/>
      <c r="L45" s="582" t="n"/>
      <c r="M45" s="584" t="n"/>
      <c r="N45" s="49" t="n"/>
      <c r="O45" s="49" t="n"/>
    </row>
    <row r="46" ht="15.6" customHeight="1">
      <c r="B46" s="570" t="n"/>
      <c r="C46" s="534" t="n"/>
      <c r="D46" s="534" t="n"/>
      <c r="E46" s="534" t="n"/>
      <c r="F46" s="534" t="n"/>
      <c r="G46" s="534" t="n"/>
      <c r="H46" s="534" t="n"/>
      <c r="I46" s="534" t="n"/>
      <c r="J46" s="534" t="n"/>
      <c r="K46" s="534" t="n"/>
      <c r="L46" s="534" t="n"/>
      <c r="M46" s="571" t="n"/>
      <c r="S46" s="19" t="n"/>
    </row>
    <row r="47" ht="15.6" customHeight="1">
      <c r="B47" s="565" t="n"/>
      <c r="C47" s="542" t="n"/>
      <c r="D47" s="542" t="n"/>
      <c r="E47" s="542" t="n"/>
      <c r="F47" s="542" t="n"/>
      <c r="G47" s="542" t="n"/>
      <c r="H47" s="542" t="n"/>
      <c r="I47" s="542" t="n"/>
      <c r="J47" s="542" t="n"/>
      <c r="K47" s="542" t="n"/>
      <c r="L47" s="542" t="n"/>
      <c r="M47" s="543" t="n"/>
      <c r="P47" s="19" t="n"/>
    </row>
    <row r="48" ht="18.75" customHeight="1">
      <c r="B48" s="19" t="inlineStr">
        <is>
          <t>Reviewed by</t>
        </is>
      </c>
      <c r="K48" s="2" t="inlineStr">
        <is>
          <t>Analyzed by</t>
        </is>
      </c>
    </row>
    <row r="49" ht="18.75" customHeight="1">
      <c r="R49" s="19" t="n"/>
    </row>
    <row r="50" ht="18.75" customHeight="1">
      <c r="Q50" s="19" t="n"/>
    </row>
    <row r="51" ht="18.75" customHeight="1"/>
    <row r="54" ht="18" customHeight="1" thickBot="1">
      <c r="A54" s="50" t="n"/>
      <c r="B54" s="50" t="n"/>
      <c r="C54" s="50" t="n"/>
      <c r="D54" s="50" t="n"/>
      <c r="E54" s="50" t="n"/>
      <c r="F54" s="50" t="n"/>
      <c r="G54" s="50" t="n"/>
      <c r="H54" s="50" t="n"/>
      <c r="I54" s="50" t="n"/>
      <c r="J54" s="50" t="n"/>
      <c r="K54" s="50" t="n"/>
      <c r="L54" s="50" t="n"/>
      <c r="M54" s="50" t="n"/>
      <c r="U54" s="51" t="n"/>
    </row>
    <row r="55" ht="18" customHeight="1" thickTop="1">
      <c r="U55" s="51" t="n"/>
    </row>
    <row r="56" ht="17.4" customHeight="1">
      <c r="U56" s="51" t="n"/>
    </row>
    <row r="57" ht="17.4" customHeight="1">
      <c r="U57" s="51" t="n"/>
    </row>
    <row r="58" ht="17.4" customHeight="1">
      <c r="U58" s="51" t="n"/>
    </row>
    <row r="59" ht="17.4" customHeight="1">
      <c r="U59" s="51" t="n"/>
    </row>
    <row r="60" ht="17.4" customHeight="1">
      <c r="U60" s="51" t="n"/>
    </row>
    <row r="61" ht="17.4" customHeight="1">
      <c r="U61" s="51" t="n"/>
    </row>
    <row r="62" ht="17.4" customHeight="1">
      <c r="U62" s="51" t="n"/>
    </row>
    <row r="63" ht="17.4" customHeight="1">
      <c r="O63" s="19" t="n"/>
      <c r="U63" s="51" t="n"/>
    </row>
    <row r="64">
      <c r="O64" s="52" t="n"/>
    </row>
    <row r="65">
      <c r="O65" s="52" t="n"/>
    </row>
    <row r="66">
      <c r="O66" s="52" t="n"/>
    </row>
    <row r="75"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</row>
    <row r="77">
      <c r="P77" s="19" t="n"/>
      <c r="Q77" s="19" t="n"/>
    </row>
    <row r="79">
      <c r="P79" s="19" t="n"/>
      <c r="Q79" s="19" t="n"/>
    </row>
    <row r="81">
      <c r="P81" s="19" t="n"/>
      <c r="Q81" s="19" t="n"/>
    </row>
    <row r="82">
      <c r="P82" s="19" t="n"/>
    </row>
    <row r="83">
      <c r="P83" s="19" t="n"/>
    </row>
    <row r="84">
      <c r="P84" s="19" t="n"/>
    </row>
    <row r="85">
      <c r="P85" s="19" t="n"/>
    </row>
    <row r="86">
      <c r="P86" s="19" t="n"/>
    </row>
    <row r="87">
      <c r="P87" s="19" t="n"/>
    </row>
    <row r="124">
      <c r="B124" s="315" t="n"/>
    </row>
    <row r="125">
      <c r="B125" s="315" t="inlineStr">
        <is>
          <t>D:\Plant\labratory folder\Plant\Daily Sheets\</t>
        </is>
      </c>
    </row>
    <row r="126">
      <c r="B126" s="315" t="inlineStr">
        <is>
          <t>D:\Plant\Ch-Mohamad\Daily Sheet\Monthly Report\</t>
        </is>
      </c>
    </row>
    <row r="127">
      <c r="B127" s="313" t="inlineStr">
        <is>
          <t>D:\labratory folder\المحطة\التقرير اليومي\</t>
        </is>
      </c>
    </row>
    <row r="128">
      <c r="B128" s="315" t="inlineStr">
        <is>
          <t>D:\Plant\Ch-Mohamad\Daily Sheet\Monthly Report\</t>
        </is>
      </c>
    </row>
    <row r="129">
      <c r="B129" s="315" t="inlineStr">
        <is>
          <t>D:\Plant\تقرير محطات 2023\</t>
        </is>
      </c>
    </row>
    <row r="130">
      <c r="B130" s="315" t="inlineStr">
        <is>
          <t>D:\Plant\Ch-Mohamad\Quality\</t>
        </is>
      </c>
    </row>
    <row r="131">
      <c r="B131" s="315" t="inlineStr">
        <is>
          <t>D:\Plant\labratory folder\Plant\Daily PDF\</t>
        </is>
      </c>
    </row>
    <row r="132">
      <c r="B132" s="315" t="n"/>
    </row>
    <row r="133">
      <c r="B133" s="315" t="n"/>
    </row>
  </sheetData>
  <sheetProtection selectLockedCells="0" selectUnlockedCells="0" algorithmName="SHA-512" sheet="1" objects="0" insertRows="1" insertHyperlinks="0" autoFilter="1" scenarios="0" formatColumns="0" deleteColumns="1" insertColumns="1" pivotTables="1" deleteRows="1" formatCells="0" saltValue="4JNnHhAbEmkFcpgYlubCkg==" formatRows="0" sort="1" spinCount="100000" hashValue="3yLcisI7od5IlTt/IW/CEyqZ0EddYNvXCE0pUQ+K7bsUmoSlVeuoD5UK1Qw32WVoSygLODvPAGoRrQjgX+gHKw=="/>
  <mergeCells count="87">
    <mergeCell ref="B42:M42"/>
    <mergeCell ref="K33:L33"/>
    <mergeCell ref="E23:F23"/>
    <mergeCell ref="B44:M44"/>
    <mergeCell ref="A26:C26"/>
    <mergeCell ref="H11:J11"/>
    <mergeCell ref="A23:C23"/>
    <mergeCell ref="K35:N35"/>
    <mergeCell ref="E27:F27"/>
    <mergeCell ref="B37:F37"/>
    <mergeCell ref="M33:N33"/>
    <mergeCell ref="D13:G13"/>
    <mergeCell ref="K3:M3"/>
    <mergeCell ref="G38:M38"/>
    <mergeCell ref="A34:C34"/>
    <mergeCell ref="E22:F22"/>
    <mergeCell ref="B43:M43"/>
    <mergeCell ref="E20:G20"/>
    <mergeCell ref="D33:G33"/>
    <mergeCell ref="D35:G35"/>
    <mergeCell ref="A32:C32"/>
    <mergeCell ref="D11:E11"/>
    <mergeCell ref="K32:L32"/>
    <mergeCell ref="D19:G19"/>
    <mergeCell ref="D34:G34"/>
    <mergeCell ref="H33:J33"/>
    <mergeCell ref="B5:D5"/>
    <mergeCell ref="A31:C31"/>
    <mergeCell ref="B45:M45"/>
    <mergeCell ref="H35:J35"/>
    <mergeCell ref="E26:F26"/>
    <mergeCell ref="L22:M22"/>
    <mergeCell ref="A24:C24"/>
    <mergeCell ref="H20:J20"/>
    <mergeCell ref="G37:M37"/>
    <mergeCell ref="B47:M47"/>
    <mergeCell ref="I4:M4"/>
    <mergeCell ref="A21:C22"/>
    <mergeCell ref="E25:F25"/>
    <mergeCell ref="B46:M46"/>
    <mergeCell ref="A17:C18"/>
    <mergeCell ref="A16:C16"/>
    <mergeCell ref="B39:M39"/>
    <mergeCell ref="B4:F4"/>
    <mergeCell ref="A25:C25"/>
    <mergeCell ref="H30:L30"/>
    <mergeCell ref="M34:N34"/>
    <mergeCell ref="K19:N19"/>
    <mergeCell ref="H32:J32"/>
    <mergeCell ref="K11:L11"/>
    <mergeCell ref="H13:J13"/>
    <mergeCell ref="L24:M24"/>
    <mergeCell ref="K31:L31"/>
    <mergeCell ref="M31:N31"/>
    <mergeCell ref="L26:M26"/>
    <mergeCell ref="G36:M36"/>
    <mergeCell ref="D31:J31"/>
    <mergeCell ref="G3:H5"/>
    <mergeCell ref="L25:M25"/>
    <mergeCell ref="A30:C30"/>
    <mergeCell ref="I5:M5"/>
    <mergeCell ref="H34:J34"/>
    <mergeCell ref="B36:F36"/>
    <mergeCell ref="K34:L34"/>
    <mergeCell ref="E24:F24"/>
    <mergeCell ref="C9:K9"/>
    <mergeCell ref="A27:C27"/>
    <mergeCell ref="D30:G30"/>
    <mergeCell ref="A33:C33"/>
    <mergeCell ref="A7:E7"/>
    <mergeCell ref="B40:M40"/>
    <mergeCell ref="L23:M23"/>
    <mergeCell ref="A35:C35"/>
    <mergeCell ref="D23:D27"/>
    <mergeCell ref="L21:N21"/>
    <mergeCell ref="M30:N30"/>
    <mergeCell ref="A19:C19"/>
    <mergeCell ref="B38:F38"/>
    <mergeCell ref="B41:M41"/>
    <mergeCell ref="D32:G32"/>
    <mergeCell ref="B3:D3"/>
    <mergeCell ref="A11:C11"/>
    <mergeCell ref="M32:N32"/>
    <mergeCell ref="A14:C15"/>
    <mergeCell ref="L27:M27"/>
    <mergeCell ref="J7:M7"/>
    <mergeCell ref="E21:F21"/>
  </mergeCells>
  <conditionalFormatting sqref="H29">
    <cfRule type="iconSet" priority="5">
      <iconSet iconSet="3Arrows">
        <cfvo type="percent" val="0"/>
        <cfvo type="num" val="0.05"/>
        <cfvo type="num" val="0.15"/>
      </iconSet>
    </cfRule>
  </conditionalFormatting>
  <conditionalFormatting sqref="D29">
    <cfRule type="iconSet" priority="4">
      <iconSet iconSet="3Arrows">
        <cfvo type="percent" val="0"/>
        <cfvo type="num" val="10"/>
        <cfvo type="num" val="30"/>
      </iconSet>
    </cfRule>
  </conditionalFormatting>
  <dataValidations count="2">
    <dataValidation sqref="N23:N27" showDropDown="0" showInputMessage="1" showErrorMessage="1" allowBlank="1" type="list">
      <formula1>$AJ$22:$AJ$24</formula1>
    </dataValidation>
    <dataValidation sqref="L23:M27" showDropDown="0" showInputMessage="1" showErrorMessage="1" allowBlank="1" type="list">
      <formula1>$AK$22:$AK$29</formula1>
    </dataValidation>
  </dataValidations>
  <hyperlinks>
    <hyperlink ref="G14" location="'TS &amp; VS'!A1" display="TS "/>
    <hyperlink ref="H14" location="TSS!A1" display="TSS"/>
    <hyperlink ref="I14" location="TDS!A1" display="TDS"/>
    <hyperlink ref="J14" location="COD!A1" display="COD"/>
    <hyperlink ref="K14" location="DO!D13" display="DO"/>
    <hyperlink ref="L14" location="Sulfide!A1" display="   S-2        (as H2S)"/>
    <hyperlink ref="M14" location="'O&amp;G'!Print_Area" display="O&amp;G"/>
    <hyperlink ref="H21" location="'State Point'!Print_Area" display="SVI"/>
    <hyperlink ref="I21" location="DO!A1" display="DO"/>
    <hyperlink ref="K21" location="'WC%'!A1" display="Dry Sludge TS%"/>
    <hyperlink ref="A25" location="Observation!A1" display=" Mixed Liquor مجمع حوض التهوية"/>
    <hyperlink ref="D31" location="'BOD5'!A1" display="BOD5"/>
  </hyperlinks>
  <printOptions horizontalCentered="1"/>
  <pageMargins left="0.748030402449694" right="0.748030402449694" top="0.984251968503937" bottom="0.984251968503937" header="0.511809930008749" footer="0.511809930008749"/>
  <pageSetup orientation="portrait" paperSize="9" scale="66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P123"/>
  <sheetViews>
    <sheetView topLeftCell="F15" zoomScale="70" zoomScaleNormal="70" workbookViewId="0">
      <selection activeCell="M34" sqref="M34:N35"/>
    </sheetView>
  </sheetViews>
  <sheetFormatPr baseColWidth="8" defaultRowHeight="17.4"/>
  <cols>
    <col width="52.33203125" customWidth="1" style="582" min="1" max="1"/>
    <col width="23.44140625" customWidth="1" style="582" min="2" max="2"/>
    <col width="20.5546875" customWidth="1" style="582" min="3" max="3"/>
    <col width="20.88671875" customWidth="1" style="582" min="4" max="21"/>
    <col width="9.109375" customWidth="1" style="582" min="22" max="27"/>
    <col width="45.33203125" bestFit="1" customWidth="1" style="54" min="28" max="28"/>
    <col width="18.109375" bestFit="1" customWidth="1" style="582" min="29" max="29"/>
    <col width="16.44140625" bestFit="1" customWidth="1" style="582" min="30" max="30"/>
    <col width="53.109375" bestFit="1" customWidth="1" style="582" min="31" max="31"/>
    <col width="24.33203125" bestFit="1" customWidth="1" style="582" min="32" max="32"/>
    <col width="18.33203125" bestFit="1" customWidth="1" style="582" min="33" max="33"/>
    <col width="37.88671875" bestFit="1" customWidth="1" style="582" min="34" max="34"/>
    <col width="16.6640625" bestFit="1" customWidth="1" style="582" min="35" max="35"/>
    <col width="18.88671875" bestFit="1" customWidth="1" style="582" min="36" max="36"/>
    <col width="9.109375" customWidth="1" style="582" min="37" max="261"/>
    <col width="76.6640625" customWidth="1" style="582" min="262" max="262"/>
    <col width="3" customWidth="1" style="582" min="263" max="263"/>
    <col width="20.5546875" customWidth="1" style="582" min="264" max="264"/>
    <col width="20.88671875" customWidth="1" style="582" min="265" max="277"/>
    <col width="9.109375" customWidth="1" style="582" min="278" max="517"/>
    <col width="76.6640625" customWidth="1" style="582" min="518" max="518"/>
    <col width="3" customWidth="1" style="582" min="519" max="519"/>
    <col width="20.5546875" customWidth="1" style="582" min="520" max="520"/>
    <col width="20.88671875" customWidth="1" style="582" min="521" max="533"/>
    <col width="9.109375" customWidth="1" style="582" min="534" max="773"/>
    <col width="76.6640625" customWidth="1" style="582" min="774" max="774"/>
    <col width="3" customWidth="1" style="582" min="775" max="775"/>
    <col width="20.5546875" customWidth="1" style="582" min="776" max="776"/>
    <col width="20.88671875" customWidth="1" style="582" min="777" max="789"/>
    <col width="9.109375" customWidth="1" style="582" min="790" max="1029"/>
    <col width="76.6640625" customWidth="1" style="582" min="1030" max="1030"/>
    <col width="3" customWidth="1" style="582" min="1031" max="1031"/>
    <col width="20.5546875" customWidth="1" style="582" min="1032" max="1032"/>
    <col width="20.88671875" customWidth="1" style="582" min="1033" max="1045"/>
    <col width="9.109375" customWidth="1" style="582" min="1046" max="1285"/>
    <col width="76.6640625" customWidth="1" style="582" min="1286" max="1286"/>
    <col width="3" customWidth="1" style="582" min="1287" max="1287"/>
    <col width="20.5546875" customWidth="1" style="582" min="1288" max="1288"/>
    <col width="20.88671875" customWidth="1" style="582" min="1289" max="1301"/>
    <col width="9.109375" customWidth="1" style="582" min="1302" max="1541"/>
    <col width="76.6640625" customWidth="1" style="582" min="1542" max="1542"/>
    <col width="3" customWidth="1" style="582" min="1543" max="1543"/>
    <col width="20.5546875" customWidth="1" style="582" min="1544" max="1544"/>
    <col width="20.88671875" customWidth="1" style="582" min="1545" max="1557"/>
    <col width="9.109375" customWidth="1" style="582" min="1558" max="1797"/>
    <col width="76.6640625" customWidth="1" style="582" min="1798" max="1798"/>
    <col width="3" customWidth="1" style="582" min="1799" max="1799"/>
    <col width="20.5546875" customWidth="1" style="582" min="1800" max="1800"/>
    <col width="20.88671875" customWidth="1" style="582" min="1801" max="1813"/>
    <col width="9.109375" customWidth="1" style="582" min="1814" max="2053"/>
    <col width="76.6640625" customWidth="1" style="582" min="2054" max="2054"/>
    <col width="3" customWidth="1" style="582" min="2055" max="2055"/>
    <col width="20.5546875" customWidth="1" style="582" min="2056" max="2056"/>
    <col width="20.88671875" customWidth="1" style="582" min="2057" max="2069"/>
    <col width="9.109375" customWidth="1" style="582" min="2070" max="2309"/>
    <col width="76.6640625" customWidth="1" style="582" min="2310" max="2310"/>
    <col width="3" customWidth="1" style="582" min="2311" max="2311"/>
    <col width="20.5546875" customWidth="1" style="582" min="2312" max="2312"/>
    <col width="20.88671875" customWidth="1" style="582" min="2313" max="2325"/>
    <col width="9.109375" customWidth="1" style="582" min="2326" max="2565"/>
    <col width="76.6640625" customWidth="1" style="582" min="2566" max="2566"/>
    <col width="3" customWidth="1" style="582" min="2567" max="2567"/>
    <col width="20.5546875" customWidth="1" style="582" min="2568" max="2568"/>
    <col width="20.88671875" customWidth="1" style="582" min="2569" max="2581"/>
    <col width="9.109375" customWidth="1" style="582" min="2582" max="2821"/>
    <col width="76.6640625" customWidth="1" style="582" min="2822" max="2822"/>
    <col width="3" customWidth="1" style="582" min="2823" max="2823"/>
    <col width="20.5546875" customWidth="1" style="582" min="2824" max="2824"/>
    <col width="20.88671875" customWidth="1" style="582" min="2825" max="2837"/>
    <col width="9.109375" customWidth="1" style="582" min="2838" max="3077"/>
    <col width="76.6640625" customWidth="1" style="582" min="3078" max="3078"/>
    <col width="3" customWidth="1" style="582" min="3079" max="3079"/>
    <col width="20.5546875" customWidth="1" style="582" min="3080" max="3080"/>
    <col width="20.88671875" customWidth="1" style="582" min="3081" max="3093"/>
    <col width="9.109375" customWidth="1" style="582" min="3094" max="3333"/>
    <col width="76.6640625" customWidth="1" style="582" min="3334" max="3334"/>
    <col width="3" customWidth="1" style="582" min="3335" max="3335"/>
    <col width="20.5546875" customWidth="1" style="582" min="3336" max="3336"/>
    <col width="20.88671875" customWidth="1" style="582" min="3337" max="3349"/>
    <col width="9.109375" customWidth="1" style="582" min="3350" max="3589"/>
    <col width="76.6640625" customWidth="1" style="582" min="3590" max="3590"/>
    <col width="3" customWidth="1" style="582" min="3591" max="3591"/>
    <col width="20.5546875" customWidth="1" style="582" min="3592" max="3592"/>
    <col width="20.88671875" customWidth="1" style="582" min="3593" max="3605"/>
    <col width="9.109375" customWidth="1" style="582" min="3606" max="3845"/>
    <col width="76.6640625" customWidth="1" style="582" min="3846" max="3846"/>
    <col width="3" customWidth="1" style="582" min="3847" max="3847"/>
    <col width="20.5546875" customWidth="1" style="582" min="3848" max="3848"/>
    <col width="20.88671875" customWidth="1" style="582" min="3849" max="3861"/>
    <col width="9.109375" customWidth="1" style="582" min="3862" max="4101"/>
    <col width="76.6640625" customWidth="1" style="582" min="4102" max="4102"/>
    <col width="3" customWidth="1" style="582" min="4103" max="4103"/>
    <col width="20.5546875" customWidth="1" style="582" min="4104" max="4104"/>
    <col width="20.88671875" customWidth="1" style="582" min="4105" max="4117"/>
    <col width="9.109375" customWidth="1" style="582" min="4118" max="4357"/>
    <col width="76.6640625" customWidth="1" style="582" min="4358" max="4358"/>
    <col width="3" customWidth="1" style="582" min="4359" max="4359"/>
    <col width="20.5546875" customWidth="1" style="582" min="4360" max="4360"/>
    <col width="20.88671875" customWidth="1" style="582" min="4361" max="4373"/>
    <col width="9.109375" customWidth="1" style="582" min="4374" max="4613"/>
    <col width="76.6640625" customWidth="1" style="582" min="4614" max="4614"/>
    <col width="3" customWidth="1" style="582" min="4615" max="4615"/>
    <col width="20.5546875" customWidth="1" style="582" min="4616" max="4616"/>
    <col width="20.88671875" customWidth="1" style="582" min="4617" max="4629"/>
    <col width="9.109375" customWidth="1" style="582" min="4630" max="4869"/>
    <col width="76.6640625" customWidth="1" style="582" min="4870" max="4870"/>
    <col width="3" customWidth="1" style="582" min="4871" max="4871"/>
    <col width="20.5546875" customWidth="1" style="582" min="4872" max="4872"/>
    <col width="20.88671875" customWidth="1" style="582" min="4873" max="4885"/>
    <col width="9.109375" customWidth="1" style="582" min="4886" max="5125"/>
    <col width="76.6640625" customWidth="1" style="582" min="5126" max="5126"/>
    <col width="3" customWidth="1" style="582" min="5127" max="5127"/>
    <col width="20.5546875" customWidth="1" style="582" min="5128" max="5128"/>
    <col width="20.88671875" customWidth="1" style="582" min="5129" max="5141"/>
    <col width="9.109375" customWidth="1" style="582" min="5142" max="5381"/>
    <col width="76.6640625" customWidth="1" style="582" min="5382" max="5382"/>
    <col width="3" customWidth="1" style="582" min="5383" max="5383"/>
    <col width="20.5546875" customWidth="1" style="582" min="5384" max="5384"/>
    <col width="20.88671875" customWidth="1" style="582" min="5385" max="5397"/>
    <col width="9.109375" customWidth="1" style="582" min="5398" max="5637"/>
    <col width="76.6640625" customWidth="1" style="582" min="5638" max="5638"/>
    <col width="3" customWidth="1" style="582" min="5639" max="5639"/>
    <col width="20.5546875" customWidth="1" style="582" min="5640" max="5640"/>
    <col width="20.88671875" customWidth="1" style="582" min="5641" max="5653"/>
    <col width="9.109375" customWidth="1" style="582" min="5654" max="5893"/>
    <col width="76.6640625" customWidth="1" style="582" min="5894" max="5894"/>
    <col width="3" customWidth="1" style="582" min="5895" max="5895"/>
    <col width="20.5546875" customWidth="1" style="582" min="5896" max="5896"/>
    <col width="20.88671875" customWidth="1" style="582" min="5897" max="5909"/>
    <col width="9.109375" customWidth="1" style="582" min="5910" max="6149"/>
    <col width="76.6640625" customWidth="1" style="582" min="6150" max="6150"/>
    <col width="3" customWidth="1" style="582" min="6151" max="6151"/>
    <col width="20.5546875" customWidth="1" style="582" min="6152" max="6152"/>
    <col width="20.88671875" customWidth="1" style="582" min="6153" max="6165"/>
    <col width="9.109375" customWidth="1" style="582" min="6166" max="6405"/>
    <col width="76.6640625" customWidth="1" style="582" min="6406" max="6406"/>
    <col width="3" customWidth="1" style="582" min="6407" max="6407"/>
    <col width="20.5546875" customWidth="1" style="582" min="6408" max="6408"/>
    <col width="20.88671875" customWidth="1" style="582" min="6409" max="6421"/>
    <col width="9.109375" customWidth="1" style="582" min="6422" max="6661"/>
    <col width="76.6640625" customWidth="1" style="582" min="6662" max="6662"/>
    <col width="3" customWidth="1" style="582" min="6663" max="6663"/>
    <col width="20.5546875" customWidth="1" style="582" min="6664" max="6664"/>
    <col width="20.88671875" customWidth="1" style="582" min="6665" max="6677"/>
    <col width="9.109375" customWidth="1" style="582" min="6678" max="6917"/>
    <col width="76.6640625" customWidth="1" style="582" min="6918" max="6918"/>
    <col width="3" customWidth="1" style="582" min="6919" max="6919"/>
    <col width="20.5546875" customWidth="1" style="582" min="6920" max="6920"/>
    <col width="20.88671875" customWidth="1" style="582" min="6921" max="6933"/>
    <col width="9.109375" customWidth="1" style="582" min="6934" max="7173"/>
    <col width="76.6640625" customWidth="1" style="582" min="7174" max="7174"/>
    <col width="3" customWidth="1" style="582" min="7175" max="7175"/>
    <col width="20.5546875" customWidth="1" style="582" min="7176" max="7176"/>
    <col width="20.88671875" customWidth="1" style="582" min="7177" max="7189"/>
    <col width="9.109375" customWidth="1" style="582" min="7190" max="7429"/>
    <col width="76.6640625" customWidth="1" style="582" min="7430" max="7430"/>
    <col width="3" customWidth="1" style="582" min="7431" max="7431"/>
    <col width="20.5546875" customWidth="1" style="582" min="7432" max="7432"/>
    <col width="20.88671875" customWidth="1" style="582" min="7433" max="7445"/>
    <col width="9.109375" customWidth="1" style="582" min="7446" max="7685"/>
    <col width="76.6640625" customWidth="1" style="582" min="7686" max="7686"/>
    <col width="3" customWidth="1" style="582" min="7687" max="7687"/>
    <col width="20.5546875" customWidth="1" style="582" min="7688" max="7688"/>
    <col width="20.88671875" customWidth="1" style="582" min="7689" max="7701"/>
    <col width="9.109375" customWidth="1" style="582" min="7702" max="7941"/>
    <col width="76.6640625" customWidth="1" style="582" min="7942" max="7942"/>
    <col width="3" customWidth="1" style="582" min="7943" max="7943"/>
    <col width="20.5546875" customWidth="1" style="582" min="7944" max="7944"/>
    <col width="20.88671875" customWidth="1" style="582" min="7945" max="7957"/>
    <col width="9.109375" customWidth="1" style="582" min="7958" max="8197"/>
    <col width="76.6640625" customWidth="1" style="582" min="8198" max="8198"/>
    <col width="3" customWidth="1" style="582" min="8199" max="8199"/>
    <col width="20.5546875" customWidth="1" style="582" min="8200" max="8200"/>
    <col width="20.88671875" customWidth="1" style="582" min="8201" max="8213"/>
    <col width="9.109375" customWidth="1" style="582" min="8214" max="8453"/>
    <col width="76.6640625" customWidth="1" style="582" min="8454" max="8454"/>
    <col width="3" customWidth="1" style="582" min="8455" max="8455"/>
    <col width="20.5546875" customWidth="1" style="582" min="8456" max="8456"/>
    <col width="20.88671875" customWidth="1" style="582" min="8457" max="8469"/>
    <col width="9.109375" customWidth="1" style="582" min="8470" max="8709"/>
    <col width="76.6640625" customWidth="1" style="582" min="8710" max="8710"/>
    <col width="3" customWidth="1" style="582" min="8711" max="8711"/>
    <col width="20.5546875" customWidth="1" style="582" min="8712" max="8712"/>
    <col width="20.88671875" customWidth="1" style="582" min="8713" max="8725"/>
    <col width="9.109375" customWidth="1" style="582" min="8726" max="8965"/>
    <col width="76.6640625" customWidth="1" style="582" min="8966" max="8966"/>
    <col width="3" customWidth="1" style="582" min="8967" max="8967"/>
    <col width="20.5546875" customWidth="1" style="582" min="8968" max="8968"/>
    <col width="20.88671875" customWidth="1" style="582" min="8969" max="8981"/>
    <col width="9.109375" customWidth="1" style="582" min="8982" max="9221"/>
    <col width="76.6640625" customWidth="1" style="582" min="9222" max="9222"/>
    <col width="3" customWidth="1" style="582" min="9223" max="9223"/>
    <col width="20.5546875" customWidth="1" style="582" min="9224" max="9224"/>
    <col width="20.88671875" customWidth="1" style="582" min="9225" max="9237"/>
    <col width="9.109375" customWidth="1" style="582" min="9238" max="9477"/>
    <col width="76.6640625" customWidth="1" style="582" min="9478" max="9478"/>
    <col width="3" customWidth="1" style="582" min="9479" max="9479"/>
    <col width="20.5546875" customWidth="1" style="582" min="9480" max="9480"/>
    <col width="20.88671875" customWidth="1" style="582" min="9481" max="9493"/>
    <col width="9.109375" customWidth="1" style="582" min="9494" max="9733"/>
    <col width="76.6640625" customWidth="1" style="582" min="9734" max="9734"/>
    <col width="3" customWidth="1" style="582" min="9735" max="9735"/>
    <col width="20.5546875" customWidth="1" style="582" min="9736" max="9736"/>
    <col width="20.88671875" customWidth="1" style="582" min="9737" max="9749"/>
    <col width="9.109375" customWidth="1" style="582" min="9750" max="9989"/>
    <col width="76.6640625" customWidth="1" style="582" min="9990" max="9990"/>
    <col width="3" customWidth="1" style="582" min="9991" max="9991"/>
    <col width="20.5546875" customWidth="1" style="582" min="9992" max="9992"/>
    <col width="20.88671875" customWidth="1" style="582" min="9993" max="10005"/>
    <col width="9.109375" customWidth="1" style="582" min="10006" max="10245"/>
    <col width="76.6640625" customWidth="1" style="582" min="10246" max="10246"/>
    <col width="3" customWidth="1" style="582" min="10247" max="10247"/>
    <col width="20.5546875" customWidth="1" style="582" min="10248" max="10248"/>
    <col width="20.88671875" customWidth="1" style="582" min="10249" max="10261"/>
    <col width="9.109375" customWidth="1" style="582" min="10262" max="10501"/>
    <col width="76.6640625" customWidth="1" style="582" min="10502" max="10502"/>
    <col width="3" customWidth="1" style="582" min="10503" max="10503"/>
    <col width="20.5546875" customWidth="1" style="582" min="10504" max="10504"/>
    <col width="20.88671875" customWidth="1" style="582" min="10505" max="10517"/>
    <col width="9.109375" customWidth="1" style="582" min="10518" max="10757"/>
    <col width="76.6640625" customWidth="1" style="582" min="10758" max="10758"/>
    <col width="3" customWidth="1" style="582" min="10759" max="10759"/>
    <col width="20.5546875" customWidth="1" style="582" min="10760" max="10760"/>
    <col width="20.88671875" customWidth="1" style="582" min="10761" max="10773"/>
    <col width="9.109375" customWidth="1" style="582" min="10774" max="11013"/>
    <col width="76.6640625" customWidth="1" style="582" min="11014" max="11014"/>
    <col width="3" customWidth="1" style="582" min="11015" max="11015"/>
    <col width="20.5546875" customWidth="1" style="582" min="11016" max="11016"/>
    <col width="20.88671875" customWidth="1" style="582" min="11017" max="11029"/>
    <col width="9.109375" customWidth="1" style="582" min="11030" max="11269"/>
    <col width="76.6640625" customWidth="1" style="582" min="11270" max="11270"/>
    <col width="3" customWidth="1" style="582" min="11271" max="11271"/>
    <col width="20.5546875" customWidth="1" style="582" min="11272" max="11272"/>
    <col width="20.88671875" customWidth="1" style="582" min="11273" max="11285"/>
    <col width="9.109375" customWidth="1" style="582" min="11286" max="11525"/>
    <col width="76.6640625" customWidth="1" style="582" min="11526" max="11526"/>
    <col width="3" customWidth="1" style="582" min="11527" max="11527"/>
    <col width="20.5546875" customWidth="1" style="582" min="11528" max="11528"/>
    <col width="20.88671875" customWidth="1" style="582" min="11529" max="11541"/>
    <col width="9.109375" customWidth="1" style="582" min="11542" max="11781"/>
    <col width="76.6640625" customWidth="1" style="582" min="11782" max="11782"/>
    <col width="3" customWidth="1" style="582" min="11783" max="11783"/>
    <col width="20.5546875" customWidth="1" style="582" min="11784" max="11784"/>
    <col width="20.88671875" customWidth="1" style="582" min="11785" max="11797"/>
    <col width="9.109375" customWidth="1" style="582" min="11798" max="12037"/>
    <col width="76.6640625" customWidth="1" style="582" min="12038" max="12038"/>
    <col width="3" customWidth="1" style="582" min="12039" max="12039"/>
    <col width="20.5546875" customWidth="1" style="582" min="12040" max="12040"/>
    <col width="20.88671875" customWidth="1" style="582" min="12041" max="12053"/>
    <col width="9.109375" customWidth="1" style="582" min="12054" max="12293"/>
    <col width="76.6640625" customWidth="1" style="582" min="12294" max="12294"/>
    <col width="3" customWidth="1" style="582" min="12295" max="12295"/>
    <col width="20.5546875" customWidth="1" style="582" min="12296" max="12296"/>
    <col width="20.88671875" customWidth="1" style="582" min="12297" max="12309"/>
    <col width="9.109375" customWidth="1" style="582" min="12310" max="12549"/>
    <col width="76.6640625" customWidth="1" style="582" min="12550" max="12550"/>
    <col width="3" customWidth="1" style="582" min="12551" max="12551"/>
    <col width="20.5546875" customWidth="1" style="582" min="12552" max="12552"/>
    <col width="20.88671875" customWidth="1" style="582" min="12553" max="12565"/>
    <col width="9.109375" customWidth="1" style="582" min="12566" max="12805"/>
    <col width="76.6640625" customWidth="1" style="582" min="12806" max="12806"/>
    <col width="3" customWidth="1" style="582" min="12807" max="12807"/>
    <col width="20.5546875" customWidth="1" style="582" min="12808" max="12808"/>
    <col width="20.88671875" customWidth="1" style="582" min="12809" max="12821"/>
    <col width="9.109375" customWidth="1" style="582" min="12822" max="13061"/>
    <col width="76.6640625" customWidth="1" style="582" min="13062" max="13062"/>
    <col width="3" customWidth="1" style="582" min="13063" max="13063"/>
    <col width="20.5546875" customWidth="1" style="582" min="13064" max="13064"/>
    <col width="20.88671875" customWidth="1" style="582" min="13065" max="13077"/>
    <col width="9.109375" customWidth="1" style="582" min="13078" max="13317"/>
    <col width="76.6640625" customWidth="1" style="582" min="13318" max="13318"/>
    <col width="3" customWidth="1" style="582" min="13319" max="13319"/>
    <col width="20.5546875" customWidth="1" style="582" min="13320" max="13320"/>
    <col width="20.88671875" customWidth="1" style="582" min="13321" max="13333"/>
    <col width="9.109375" customWidth="1" style="582" min="13334" max="13573"/>
    <col width="76.6640625" customWidth="1" style="582" min="13574" max="13574"/>
    <col width="3" customWidth="1" style="582" min="13575" max="13575"/>
    <col width="20.5546875" customWidth="1" style="582" min="13576" max="13576"/>
    <col width="20.88671875" customWidth="1" style="582" min="13577" max="13589"/>
    <col width="9.109375" customWidth="1" style="582" min="13590" max="13829"/>
    <col width="76.6640625" customWidth="1" style="582" min="13830" max="13830"/>
    <col width="3" customWidth="1" style="582" min="13831" max="13831"/>
    <col width="20.5546875" customWidth="1" style="582" min="13832" max="13832"/>
    <col width="20.88671875" customWidth="1" style="582" min="13833" max="13845"/>
    <col width="9.109375" customWidth="1" style="582" min="13846" max="14085"/>
    <col width="76.6640625" customWidth="1" style="582" min="14086" max="14086"/>
    <col width="3" customWidth="1" style="582" min="14087" max="14087"/>
    <col width="20.5546875" customWidth="1" style="582" min="14088" max="14088"/>
    <col width="20.88671875" customWidth="1" style="582" min="14089" max="14101"/>
    <col width="9.109375" customWidth="1" style="582" min="14102" max="14341"/>
    <col width="76.6640625" customWidth="1" style="582" min="14342" max="14342"/>
    <col width="3" customWidth="1" style="582" min="14343" max="14343"/>
    <col width="20.5546875" customWidth="1" style="582" min="14344" max="14344"/>
    <col width="20.88671875" customWidth="1" style="582" min="14345" max="14357"/>
    <col width="9.109375" customWidth="1" style="582" min="14358" max="14597"/>
    <col width="76.6640625" customWidth="1" style="582" min="14598" max="14598"/>
    <col width="3" customWidth="1" style="582" min="14599" max="14599"/>
    <col width="20.5546875" customWidth="1" style="582" min="14600" max="14600"/>
    <col width="20.88671875" customWidth="1" style="582" min="14601" max="14613"/>
    <col width="9.109375" customWidth="1" style="582" min="14614" max="14853"/>
    <col width="76.6640625" customWidth="1" style="582" min="14854" max="14854"/>
    <col width="3" customWidth="1" style="582" min="14855" max="14855"/>
    <col width="20.5546875" customWidth="1" style="582" min="14856" max="14856"/>
    <col width="20.88671875" customWidth="1" style="582" min="14857" max="14869"/>
    <col width="9.109375" customWidth="1" style="582" min="14870" max="15109"/>
    <col width="76.6640625" customWidth="1" style="582" min="15110" max="15110"/>
    <col width="3" customWidth="1" style="582" min="15111" max="15111"/>
    <col width="20.5546875" customWidth="1" style="582" min="15112" max="15112"/>
    <col width="20.88671875" customWidth="1" style="582" min="15113" max="15125"/>
    <col width="9.109375" customWidth="1" style="582" min="15126" max="15365"/>
    <col width="76.6640625" customWidth="1" style="582" min="15366" max="15366"/>
    <col width="3" customWidth="1" style="582" min="15367" max="15367"/>
    <col width="20.5546875" customWidth="1" style="582" min="15368" max="15368"/>
    <col width="20.88671875" customWidth="1" style="582" min="15369" max="15381"/>
    <col width="9.109375" customWidth="1" style="582" min="15382" max="15621"/>
    <col width="76.6640625" customWidth="1" style="582" min="15622" max="15622"/>
    <col width="3" customWidth="1" style="582" min="15623" max="15623"/>
    <col width="20.5546875" customWidth="1" style="582" min="15624" max="15624"/>
    <col width="20.88671875" customWidth="1" style="582" min="15625" max="15637"/>
    <col width="9.109375" customWidth="1" style="582" min="15638" max="15877"/>
    <col width="76.6640625" customWidth="1" style="582" min="15878" max="15878"/>
    <col width="3" customWidth="1" style="582" min="15879" max="15879"/>
    <col width="20.5546875" customWidth="1" style="582" min="15880" max="15880"/>
    <col width="20.88671875" customWidth="1" style="582" min="15881" max="15893"/>
    <col width="9.109375" customWidth="1" style="582" min="15894" max="16133"/>
    <col width="76.6640625" customWidth="1" style="582" min="16134" max="16134"/>
    <col width="3" customWidth="1" style="582" min="16135" max="16135"/>
    <col width="20.5546875" customWidth="1" style="582" min="16136" max="16136"/>
    <col width="20.88671875" customWidth="1" style="582" min="16137" max="16149"/>
    <col width="9.109375" customWidth="1" style="582" min="16150" max="16384"/>
  </cols>
  <sheetData>
    <row r="1" ht="24.9" customHeight="1">
      <c r="P1" s="53" t="inlineStr">
        <is>
          <t>الشركة القابضة لمياة الشرب و الصرف الصحى</t>
        </is>
      </c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</row>
    <row r="2" ht="24.9" customHeight="1">
      <c r="A2" s="389" t="n"/>
      <c r="P2" s="53" t="inlineStr">
        <is>
          <t>قطاع المعامل</t>
        </is>
      </c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</row>
    <row r="3" ht="24.9" customHeight="1">
      <c r="P3" s="55" t="inlineStr">
        <is>
          <t>الأدارة العامة لمعامل الصرف الصحى</t>
        </is>
      </c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</row>
    <row r="4" ht="24.9" customHeight="1" thickBot="1"/>
    <row r="5" ht="35.25" customFormat="1" customHeight="1" s="59" thickBot="1">
      <c r="A5" s="56" t="inlineStr">
        <is>
          <t>Tamiya Sanitation Plant laboratory</t>
        </is>
      </c>
      <c r="B5" s="57" t="n"/>
      <c r="C5" s="57" t="n"/>
      <c r="D5" s="57" t="n"/>
      <c r="E5" s="57" t="n"/>
      <c r="F5" s="57" t="n"/>
      <c r="G5" s="57" t="n"/>
      <c r="H5" s="57" t="n"/>
      <c r="I5" s="57" t="n"/>
      <c r="J5" s="57" t="n"/>
      <c r="K5" s="57" t="n"/>
      <c r="L5" s="57" t="n"/>
      <c r="M5" s="57" t="n"/>
      <c r="N5" s="57" t="n"/>
      <c r="O5" s="57" t="n"/>
      <c r="P5" s="58" t="n"/>
      <c r="Q5" s="303" t="n"/>
      <c r="R5" s="303" t="n"/>
      <c r="S5" s="303" t="n"/>
      <c r="T5" s="303" t="n"/>
      <c r="U5" s="303" t="n"/>
      <c r="AB5" s="60" t="n"/>
    </row>
    <row r="6" ht="39.75" customHeight="1">
      <c r="A6" s="616" t="inlineStr">
        <is>
          <t>COD WORK SHEET</t>
        </is>
      </c>
      <c r="B6" s="617" t="n"/>
      <c r="C6" s="617" t="n"/>
      <c r="D6" s="617" t="n"/>
      <c r="E6" s="617" t="n"/>
      <c r="F6" s="617" t="n"/>
      <c r="G6" s="617" t="n"/>
      <c r="H6" s="618" t="n"/>
      <c r="I6" s="634" t="inlineStr">
        <is>
          <t xml:space="preserve"> SAMPLE DATE:   </t>
        </is>
      </c>
      <c r="J6" s="617" t="n"/>
      <c r="K6" s="604">
        <f>Main!D11</f>
        <v/>
      </c>
      <c r="L6" s="605" t="n"/>
      <c r="M6" s="632" t="inlineStr">
        <is>
          <t xml:space="preserve"> ANALYSIS DATE:</t>
        </is>
      </c>
      <c r="N6" s="617" t="n"/>
      <c r="O6" s="626">
        <f>Main!K11</f>
        <v/>
      </c>
      <c r="P6" s="618" t="n"/>
      <c r="Q6" s="304" t="n"/>
      <c r="R6" s="304" t="n"/>
      <c r="S6" s="304" t="n"/>
      <c r="T6" s="304" t="n"/>
      <c r="U6" s="304" t="n"/>
    </row>
    <row r="7" ht="24.9" customHeight="1">
      <c r="A7" s="620" t="inlineStr">
        <is>
          <t xml:space="preserve">  20th EDITION, of The Standard Method for the Examination of Water and Wastewater</t>
        </is>
      </c>
      <c r="B7" s="574" t="n"/>
      <c r="C7" s="574" t="n"/>
      <c r="D7" s="574" t="n"/>
      <c r="E7" s="574" t="n"/>
      <c r="F7" s="574" t="n"/>
      <c r="G7" s="574" t="n"/>
      <c r="H7" s="621" t="n"/>
      <c r="I7" s="622" t="inlineStr">
        <is>
          <t xml:space="preserve"> TIME:           ....................................................................</t>
        </is>
      </c>
      <c r="J7" s="623" t="n"/>
      <c r="K7" s="623" t="n"/>
      <c r="L7" s="623" t="n"/>
      <c r="M7" s="623" t="n"/>
      <c r="N7" s="623" t="n"/>
      <c r="O7" s="623" t="n"/>
      <c r="P7" s="624" t="n"/>
      <c r="Q7" s="305" t="n"/>
      <c r="R7" s="305" t="n"/>
      <c r="S7" s="305" t="n"/>
      <c r="T7" s="305" t="n"/>
      <c r="U7" s="305" t="n"/>
    </row>
    <row r="8" ht="33" customHeight="1" thickBot="1">
      <c r="A8" s="61" t="inlineStr">
        <is>
          <t xml:space="preserve"> PROCEDURE NUMBER 5220 D     CLOSED REFLUX, COLORIMETRIC</t>
        </is>
      </c>
      <c r="B8" s="62" t="n"/>
      <c r="C8" s="62" t="n"/>
      <c r="D8" s="62" t="n"/>
      <c r="E8" s="62" t="n"/>
      <c r="F8" s="62" t="n"/>
      <c r="G8" s="62" t="n"/>
      <c r="H8" s="63" t="n"/>
      <c r="I8" s="610">
        <f>"ANALYST :    Ch/" &amp; Efficiency!D31</f>
        <v/>
      </c>
      <c r="J8" s="586" t="n"/>
      <c r="K8" s="586" t="n"/>
      <c r="L8" s="586" t="n"/>
      <c r="M8" s="586" t="n"/>
      <c r="N8" s="586" t="n"/>
      <c r="O8" s="586" t="n"/>
      <c r="P8" s="611" t="n"/>
      <c r="Q8" s="305" t="n"/>
      <c r="R8" s="305" t="n"/>
      <c r="S8" s="305" t="n"/>
      <c r="T8" s="305" t="n"/>
      <c r="U8" s="305" t="n"/>
    </row>
    <row r="9" ht="24.9" customFormat="1" customHeight="1" s="64" thickBot="1" thickTop="1">
      <c r="A9" s="627" t="inlineStr">
        <is>
          <t xml:space="preserve"> (1) SAMPLE TYPE</t>
        </is>
      </c>
      <c r="B9" s="628" t="n"/>
      <c r="C9" s="606" t="inlineStr">
        <is>
          <t>Influent</t>
        </is>
      </c>
      <c r="D9" s="607" t="n"/>
      <c r="E9" s="606" t="inlineStr">
        <is>
          <t>Effluent</t>
        </is>
      </c>
      <c r="F9" s="607" t="n"/>
      <c r="G9" s="606" t="n"/>
      <c r="H9" s="607" t="n"/>
      <c r="I9" s="606" t="n"/>
      <c r="J9" s="607" t="n"/>
      <c r="K9" s="606" t="n"/>
      <c r="L9" s="607" t="n"/>
      <c r="M9" s="606" t="n"/>
      <c r="N9" s="607" t="n"/>
      <c r="O9" s="606" t="n"/>
      <c r="P9" s="607" t="n"/>
      <c r="Q9" s="606" t="n">
        <v>10</v>
      </c>
      <c r="R9" s="607" t="n"/>
      <c r="S9" s="606" t="n">
        <v>12</v>
      </c>
      <c r="T9" s="607" t="n"/>
      <c r="U9" s="306" t="n"/>
      <c r="AB9" s="60" t="n"/>
    </row>
    <row r="10" ht="24.9" customFormat="1" customHeight="1" s="67" thickTop="1">
      <c r="A10" s="636" t="inlineStr">
        <is>
          <t xml:space="preserve"> (2) BOTTLE NUMBER</t>
        </is>
      </c>
      <c r="B10" s="637" t="n"/>
      <c r="C10" s="245" t="n">
        <v>1</v>
      </c>
      <c r="D10" s="65" t="n">
        <v>2</v>
      </c>
      <c r="E10" s="245" t="n">
        <v>3</v>
      </c>
      <c r="F10" s="245" t="n">
        <v>4</v>
      </c>
      <c r="G10" s="65" t="n"/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>
        <v>13</v>
      </c>
      <c r="R10" s="65" t="n">
        <v>14</v>
      </c>
      <c r="S10" s="65" t="n">
        <v>15</v>
      </c>
      <c r="T10" s="65" t="n">
        <v>16</v>
      </c>
      <c r="U10" s="307" t="n"/>
      <c r="V10" s="64" t="n"/>
      <c r="W10" s="64" t="n"/>
      <c r="X10" s="64" t="n"/>
      <c r="Y10" s="64" t="n"/>
      <c r="Z10" s="64" t="n"/>
      <c r="AA10" s="64" t="n"/>
      <c r="AB10" s="60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</row>
    <row r="11" ht="24.9" customFormat="1" customHeight="1" s="64">
      <c r="A11" s="635" t="inlineStr">
        <is>
          <t xml:space="preserve"> (3) SAMPLE VOLUME, ml</t>
        </is>
      </c>
      <c r="B11" s="569" t="n"/>
      <c r="C11" s="244" t="n">
        <v>2.5</v>
      </c>
      <c r="D11" s="244" t="n">
        <v>2.5</v>
      </c>
      <c r="E11" s="244" t="n">
        <v>2.5</v>
      </c>
      <c r="F11" s="244" t="n">
        <v>2.5</v>
      </c>
      <c r="G11" s="244" t="n"/>
      <c r="H11" s="244" t="n"/>
      <c r="I11" s="244" t="n"/>
      <c r="J11" s="244" t="n"/>
      <c r="K11" s="244" t="n"/>
      <c r="L11" s="244" t="n"/>
      <c r="M11" s="244" t="n"/>
      <c r="N11" s="244" t="n"/>
      <c r="O11" s="244" t="n"/>
      <c r="P11" s="244" t="n"/>
      <c r="Q11" s="244" t="n">
        <v>2.5</v>
      </c>
      <c r="R11" s="244" t="n">
        <v>2.5</v>
      </c>
      <c r="S11" s="244" t="n">
        <v>2.5</v>
      </c>
      <c r="T11" s="244" t="n">
        <v>2.5</v>
      </c>
      <c r="U11" s="308" t="n"/>
      <c r="AB11" s="60" t="n"/>
    </row>
    <row r="12" ht="24.9" customFormat="1" customHeight="1" s="67">
      <c r="A12" s="625" t="inlineStr">
        <is>
          <t xml:space="preserve"> (4) DILUTION FACTOR = 2 / (3)</t>
        </is>
      </c>
      <c r="B12" s="569" t="n"/>
      <c r="C12" s="65" t="n">
        <v>1</v>
      </c>
      <c r="D12" s="65" t="n">
        <v>1</v>
      </c>
      <c r="E12" s="65" t="n">
        <v>1</v>
      </c>
      <c r="F12" s="65" t="n">
        <v>1</v>
      </c>
      <c r="G12" s="65" t="n"/>
      <c r="H12" s="65" t="n"/>
      <c r="I12" s="65" t="n"/>
      <c r="J12" s="65" t="n"/>
      <c r="K12" s="65" t="n"/>
      <c r="L12" s="65" t="n"/>
      <c r="M12" s="65" t="n"/>
      <c r="N12" s="65" t="n"/>
      <c r="O12" s="65" t="n"/>
      <c r="P12" s="65" t="n"/>
      <c r="Q12" s="65" t="n">
        <v>1</v>
      </c>
      <c r="R12" s="65" t="n">
        <v>1</v>
      </c>
      <c r="S12" s="65" t="n">
        <v>1</v>
      </c>
      <c r="T12" s="65" t="n">
        <v>1</v>
      </c>
      <c r="U12" s="307" t="n"/>
      <c r="V12" s="64" t="n"/>
      <c r="W12" s="64" t="n"/>
      <c r="X12" s="64" t="n"/>
      <c r="Y12" s="64" t="n"/>
      <c r="Z12" s="64" t="n"/>
      <c r="AA12" s="64" t="n"/>
      <c r="AB12" s="60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</row>
    <row r="13" ht="24.9" customFormat="1" customHeight="1" s="64">
      <c r="A13" s="635" t="inlineStr">
        <is>
          <t xml:space="preserve"> (5) COLORIMETER READING mg/l</t>
        </is>
      </c>
      <c r="B13" s="569" t="n"/>
      <c r="C13" s="244" t="n"/>
      <c r="D13" s="244" t="n"/>
      <c r="E13" s="244" t="n"/>
      <c r="F13" s="244" t="n"/>
      <c r="G13" s="244" t="n"/>
      <c r="H13" s="244" t="n"/>
      <c r="I13" s="244" t="n"/>
      <c r="J13" s="244" t="n"/>
      <c r="K13" s="244" t="n"/>
      <c r="L13" s="244" t="n"/>
      <c r="M13" s="244" t="n"/>
      <c r="N13" s="244" t="n"/>
      <c r="O13" s="244" t="n"/>
      <c r="P13" s="244" t="n"/>
      <c r="Q13" s="244" t="n"/>
      <c r="R13" s="244" t="n"/>
      <c r="S13" s="244" t="n"/>
      <c r="T13" s="244" t="n"/>
      <c r="U13" s="308" t="n"/>
      <c r="AB13" s="60" t="n"/>
    </row>
    <row r="14" ht="24.9" customFormat="1" customHeight="1" s="67">
      <c r="A14" s="625" t="inlineStr">
        <is>
          <t>(6) COD mg/l =   (5) x (4)</t>
        </is>
      </c>
      <c r="B14" s="569" t="n"/>
      <c r="C14" s="66">
        <f>IFERROR(IF(C13="","",C13*C12),"")</f>
        <v/>
      </c>
      <c r="D14" s="66">
        <f>IFERROR(IF(D13="","",D13*D12),"")</f>
        <v/>
      </c>
      <c r="E14" s="66">
        <f>IFERROR(IF(E13="","",E13*E12),"")</f>
        <v/>
      </c>
      <c r="F14" s="66">
        <f>IFERROR(IF(F13="","",F13*F12),"")</f>
        <v/>
      </c>
      <c r="G14" s="66">
        <f>IFERROR(IF(G13="","",G13*G12),"")</f>
        <v/>
      </c>
      <c r="H14" s="66">
        <f>IFERROR(IF(H13="","",H13*H12),"")</f>
        <v/>
      </c>
      <c r="I14" s="66">
        <f>IFERROR(IF(I13="","",I13*I12),"")</f>
        <v/>
      </c>
      <c r="J14" s="66">
        <f>IFERROR(IF(J13="","",J13*J12),"")</f>
        <v/>
      </c>
      <c r="K14" s="66">
        <f>IFERROR(IF(K13="","",K13*K12),"")</f>
        <v/>
      </c>
      <c r="L14" s="66">
        <f>IFERROR(IF(L13="","",L13*L12),"")</f>
        <v/>
      </c>
      <c r="M14" s="66">
        <f>IFERROR(IF(M13="","",M13*M12),"")</f>
        <v/>
      </c>
      <c r="N14" s="66">
        <f>IFERROR(IF(N13="","",N13*N12),"")</f>
        <v/>
      </c>
      <c r="O14" s="66">
        <f>IFERROR(IF(O13="","",O13*O12),"")</f>
        <v/>
      </c>
      <c r="P14" s="66">
        <f>IFERROR(IF(P13="","",P13*P12),"")</f>
        <v/>
      </c>
      <c r="Q14" s="66">
        <f>IFERROR(IF(Q13="","",Q13*Q12),"")</f>
        <v/>
      </c>
      <c r="R14" s="66">
        <f>IFERROR(IF(R13="","",R13*R12),"")</f>
        <v/>
      </c>
      <c r="S14" s="66">
        <f>IFERROR(IF(S13="","",S13*S12),"")</f>
        <v/>
      </c>
      <c r="T14" s="66">
        <f>IFERROR(IF(T13="","",T13*T12),"")</f>
        <v/>
      </c>
      <c r="U14" s="309" t="n"/>
      <c r="V14" s="64" t="n"/>
      <c r="W14" s="64" t="n"/>
      <c r="X14" s="64" t="n"/>
      <c r="Y14" s="64" t="n"/>
      <c r="Z14" s="64" t="n"/>
      <c r="AA14" s="64" t="n"/>
      <c r="AB14" s="60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</row>
    <row r="15" ht="24.9" customFormat="1" customHeight="1" s="68">
      <c r="A15" s="625" t="inlineStr">
        <is>
          <t>Average</t>
        </is>
      </c>
      <c r="B15" s="569" t="n"/>
      <c r="C15" s="630">
        <f>IFERROR(IF(C13="","",IF(AND(C14="",D14=""),"ND",AVERAGE(C14:D14))),"")</f>
        <v/>
      </c>
      <c r="D15" s="569" t="n"/>
      <c r="E15" s="630">
        <f>IFERROR(IF(E13="","",IF(AND(E14="",F14=""),"ND",AVERAGE(E14:F14))),"")</f>
        <v/>
      </c>
      <c r="F15" s="569" t="n"/>
      <c r="G15" s="630">
        <f>IFERROR(IF(G13="","",IF(AND(G14="",H14=""),"ND",AVERAGE(G14:H14))),"")</f>
        <v/>
      </c>
      <c r="H15" s="569" t="n"/>
      <c r="I15" s="630">
        <f>IFERROR(IF(I13="","",IF(AND(I14="",J14=""),"ND",AVERAGE(I14:J14))),"")</f>
        <v/>
      </c>
      <c r="J15" s="569" t="n"/>
      <c r="K15" s="630">
        <f>IFERROR(IF(K13="","",IF(AND(K14="",L14=""),"ND",AVERAGE(K14:L14))),"")</f>
        <v/>
      </c>
      <c r="L15" s="569" t="n"/>
      <c r="M15" s="630">
        <f>IFERROR(IF(M13="","",IF(AND(M14="",N14=""),"ND",AVERAGE(M14:N14))),"")</f>
        <v/>
      </c>
      <c r="N15" s="569" t="n"/>
      <c r="O15" s="630">
        <f>IFERROR(IF(O13="","",IF(AND(O14="",P14=""),"ND",AVERAGE(O14:P14))),"")</f>
        <v/>
      </c>
      <c r="P15" s="569" t="n"/>
      <c r="Q15" s="630">
        <f>IFERROR(IF(Q13="","",IF(AND(Q14="",R14=""),"ND",AVERAGE(Q14:R14))),"")</f>
        <v/>
      </c>
      <c r="R15" s="569" t="n"/>
      <c r="S15" s="630">
        <f>IFERROR(IF(S13="","",IF(AND(S14="",T14=""),"ND",AVERAGE(S14:T14))),"")</f>
        <v/>
      </c>
      <c r="T15" s="569" t="n"/>
      <c r="U15" s="309" t="n"/>
      <c r="AB15" s="54" t="n"/>
    </row>
    <row r="16" ht="24.9" customHeight="1">
      <c r="A16" s="418" t="inlineStr">
        <is>
          <t>R</t>
        </is>
      </c>
      <c r="B16" s="419" t="n"/>
      <c r="C16" s="612">
        <f>IFERROR(IF(C13="","",IF(AND(C14="",D14=""),"ND",ABS(C13-D13))),"")</f>
        <v/>
      </c>
      <c r="D16" s="569" t="n"/>
      <c r="E16" s="612">
        <f>IFERROR(IF(E13="","",IF(AND(E14="",F14=""),"ND",ABS(E13-F13))),"")</f>
        <v/>
      </c>
      <c r="F16" s="569" t="n"/>
      <c r="G16" s="612">
        <f>IFERROR(IF(G13="","",IF(AND(G14="",H14=""),"ND",ABS(G13-H13))),"")</f>
        <v/>
      </c>
      <c r="H16" s="569" t="n"/>
      <c r="I16" s="612">
        <f>IFERROR(IF(I13="","",IF(AND(I14="",J14=""),"ND",ABS(I13-J13))),"")</f>
        <v/>
      </c>
      <c r="J16" s="569" t="n"/>
      <c r="K16" s="612">
        <f>IFERROR(IF(K13="","",IF(AND(K14="",L14=""),"ND",ABS(K13-L13))),"")</f>
        <v/>
      </c>
      <c r="L16" s="569" t="n"/>
      <c r="M16" s="612">
        <f>IFERROR(IF(M13="","",IF(AND(M14="",N14=""),"ND",ABS(M13-N13))),"")</f>
        <v/>
      </c>
      <c r="N16" s="569" t="n"/>
      <c r="O16" s="612">
        <f>IFERROR(IF(O13="","",IF(AND(O14="",P14=""),"ND",ABS(O13-P13))),"")</f>
        <v/>
      </c>
      <c r="P16" s="569" t="n"/>
      <c r="Q16" s="612">
        <f>IFERROR(IF(Q13="","",IF(AND(Q14="",R14=""),"ND",ABS(Q13-R13))),"")</f>
        <v/>
      </c>
      <c r="R16" s="569" t="n"/>
      <c r="S16" s="612">
        <f>IFERROR(IF(S13="","",IF(AND(S14="",T14=""),"ND",ABS(S13-T13))),"")</f>
        <v/>
      </c>
      <c r="T16" s="569" t="n"/>
      <c r="U16" s="310" t="n"/>
    </row>
    <row r="17" ht="24.9" customHeight="1">
      <c r="A17" s="418" t="inlineStr">
        <is>
          <t>RPD</t>
        </is>
      </c>
      <c r="B17" s="419" t="n"/>
      <c r="C17" s="609">
        <f>IFERROR(C16/AVERAGE(C13:D13),"")</f>
        <v/>
      </c>
      <c r="D17" s="569" t="n"/>
      <c r="E17" s="609">
        <f>IFERROR(E16/AVERAGE(E13:F13),"")</f>
        <v/>
      </c>
      <c r="F17" s="569" t="n"/>
      <c r="G17" s="609">
        <f>IFERROR(G16/AVERAGE(G13:H13),"")</f>
        <v/>
      </c>
      <c r="H17" s="569" t="n"/>
      <c r="I17" s="609">
        <f>IFERROR(I16/AVERAGE(I13:J13),"")</f>
        <v/>
      </c>
      <c r="J17" s="569" t="n"/>
      <c r="K17" s="609">
        <f>IFERROR(K16/AVERAGE(K13:L13),"")</f>
        <v/>
      </c>
      <c r="L17" s="569" t="n"/>
      <c r="M17" s="609">
        <f>IFERROR(M16/AVERAGE(M13:N13),"")</f>
        <v/>
      </c>
      <c r="N17" s="569" t="n"/>
      <c r="O17" s="609">
        <f>IFERROR(O16/AVERAGE(O13:P13),"")</f>
        <v/>
      </c>
      <c r="P17" s="569" t="n"/>
      <c r="Q17" s="609">
        <f>IFERROR(Q16/AVERAGE(Q13:R13),"")</f>
        <v/>
      </c>
      <c r="R17" s="569" t="n"/>
      <c r="S17" s="609">
        <f>IFERROR(S16/AVERAGE(S13:T13),"")</f>
        <v/>
      </c>
      <c r="T17" s="569" t="n"/>
      <c r="U17" s="311" t="n"/>
    </row>
    <row r="18" ht="24.9" customHeight="1">
      <c r="K18" s="69" t="inlineStr">
        <is>
          <t>LR</t>
        </is>
      </c>
      <c r="L18" s="69" t="inlineStr">
        <is>
          <t>HR</t>
        </is>
      </c>
    </row>
    <row r="19" ht="24.9" customHeight="1">
      <c r="K19" s="69">
        <f>IFERROR(IF(E15="",IF(C31="",IF(E31="",C78,E31),C31),E15),"")</f>
        <v/>
      </c>
      <c r="L19" s="69">
        <f>IFERROR(IF(C15="",IF(AND(B31="",D31=""),IF(B78="",D78,AVERAGE(B78,D78)),IF(B31="",D31,AVERAGE(B31,D31))),C15),"")</f>
        <v/>
      </c>
    </row>
    <row r="20" ht="24.9" customHeight="1"/>
    <row r="21" ht="24.9" customHeight="1">
      <c r="C21" s="758" t="n"/>
    </row>
    <row r="22" ht="24.9" customHeight="1">
      <c r="A22" s="608" t="inlineStr">
        <is>
          <t>تسجيل التجربة</t>
        </is>
      </c>
      <c r="B22" s="608" t="n"/>
      <c r="C22" s="758" t="n"/>
      <c r="D22" s="534" t="n"/>
      <c r="E22" s="534" t="n"/>
      <c r="F22" s="534" t="n"/>
      <c r="G22" s="534" t="n"/>
      <c r="H22" s="534" t="n"/>
      <c r="I22" s="534" t="n"/>
      <c r="J22" s="534" t="n"/>
      <c r="K22" s="534" t="n"/>
      <c r="L22" s="534" t="n"/>
      <c r="M22" s="534" t="n"/>
      <c r="N22" s="534" t="n"/>
      <c r="O22" s="534" t="n"/>
      <c r="P22" s="534" t="n"/>
      <c r="Q22" s="534" t="n"/>
      <c r="R22" s="534" t="n"/>
      <c r="S22" s="534" t="n"/>
      <c r="T22" s="534" t="n"/>
      <c r="U22" s="534" t="n"/>
      <c r="V22" s="534" t="n"/>
      <c r="W22" s="534" t="n"/>
    </row>
    <row r="23" ht="24.9" customHeight="1">
      <c r="A23" s="608" t="n"/>
      <c r="B23" s="608" t="n"/>
      <c r="C23" s="608" t="n"/>
      <c r="D23" s="534" t="n"/>
      <c r="E23" s="534" t="n"/>
      <c r="F23" s="534" t="n"/>
      <c r="G23" s="534" t="n"/>
      <c r="H23" s="534" t="n"/>
      <c r="I23" s="534" t="n"/>
      <c r="J23" s="534" t="n"/>
      <c r="K23" s="608" t="inlineStr">
        <is>
          <t>التخفيف</t>
        </is>
      </c>
      <c r="L23" s="608" t="n"/>
      <c r="M23" s="608" t="n"/>
      <c r="N23" s="534" t="n"/>
      <c r="O23" s="534" t="n"/>
      <c r="P23" s="534" t="n"/>
      <c r="Q23" s="534" t="n"/>
      <c r="R23" s="534" t="n"/>
      <c r="S23" s="534" t="n"/>
      <c r="T23" s="534" t="n"/>
      <c r="U23" s="534" t="n"/>
      <c r="V23" s="534" t="n"/>
      <c r="W23" s="534" t="n"/>
    </row>
    <row r="24" ht="24.9" customHeight="1">
      <c r="A24" s="534" t="n"/>
      <c r="B24" s="534" t="n"/>
      <c r="C24" s="534" t="n"/>
      <c r="D24" s="534" t="n"/>
      <c r="E24" s="70" t="inlineStr">
        <is>
          <t>REAGENT</t>
        </is>
      </c>
      <c r="F24" s="534" t="n"/>
      <c r="G24" s="534" t="n"/>
      <c r="H24" s="534" t="n"/>
      <c r="I24" s="534" t="n"/>
      <c r="J24" s="534" t="n"/>
      <c r="K24" s="608" t="n"/>
      <c r="L24" s="608" t="n"/>
      <c r="M24" s="608" t="n"/>
      <c r="N24" s="534" t="n"/>
      <c r="O24" s="534" t="n"/>
      <c r="P24" s="534" t="n"/>
      <c r="Q24" s="534" t="n"/>
      <c r="R24" s="534" t="n"/>
      <c r="S24" s="534" t="n"/>
      <c r="T24" s="534" t="n"/>
      <c r="U24" s="534" t="n"/>
      <c r="V24" s="534" t="n"/>
      <c r="W24" s="534" t="n"/>
    </row>
    <row r="25" ht="24.9" customHeight="1">
      <c r="A25" s="2" t="n"/>
      <c r="B25" s="71" t="inlineStr">
        <is>
          <t>Influent HR</t>
        </is>
      </c>
      <c r="C25" s="71" t="inlineStr">
        <is>
          <t xml:space="preserve"> Effluent ( 0 - 400 )</t>
        </is>
      </c>
      <c r="D25" s="71" t="inlineStr">
        <is>
          <t>Influent LR</t>
        </is>
      </c>
      <c r="E25" s="71" t="inlineStr">
        <is>
          <t xml:space="preserve"> Effluent ( 0 - 70 )</t>
        </is>
      </c>
      <c r="F25" s="2" t="n"/>
      <c r="G25" s="71" t="inlineStr">
        <is>
          <t>FAS</t>
        </is>
      </c>
      <c r="H25" s="71" t="inlineStr">
        <is>
          <t>Normality</t>
        </is>
      </c>
      <c r="I25" s="72" t="n"/>
      <c r="J25" s="534" t="n"/>
      <c r="K25" s="534" t="n"/>
      <c r="L25" s="534" t="n"/>
      <c r="M25" s="534" t="n"/>
      <c r="N25" s="534" t="n"/>
      <c r="O25" s="534" t="n"/>
      <c r="P25" s="614" t="n"/>
      <c r="Q25" s="614" t="n"/>
      <c r="R25" s="614" t="n"/>
      <c r="S25" s="614" t="n"/>
      <c r="T25" s="614" t="n"/>
      <c r="U25" s="614" t="n"/>
      <c r="V25" s="614" t="n"/>
      <c r="W25" s="534" t="n"/>
      <c r="AB25" s="54" t="inlineStr">
        <is>
          <t>Column1</t>
        </is>
      </c>
      <c r="AC25" s="602" t="inlineStr">
        <is>
          <t>Ag2SO4</t>
        </is>
      </c>
      <c r="AD25" s="602" t="inlineStr">
        <is>
          <t>H2SO4</t>
        </is>
      </c>
      <c r="AE25" s="602" t="inlineStr">
        <is>
          <t>1,10-phenanthroline monohydrate</t>
        </is>
      </c>
      <c r="AF25" s="602" t="inlineStr">
        <is>
          <t>FeSO4 7H2O</t>
        </is>
      </c>
      <c r="AG25" s="602" t="inlineStr">
        <is>
          <t>D.Water</t>
        </is>
      </c>
      <c r="AH25" s="602" t="inlineStr">
        <is>
          <t>Fe(NH4)2(SO4)2.6H2O</t>
        </is>
      </c>
      <c r="AI25" s="602" t="inlineStr">
        <is>
          <t>HgSO4</t>
        </is>
      </c>
      <c r="AJ25" s="602" t="inlineStr">
        <is>
          <t>K2Cr2O7</t>
        </is>
      </c>
    </row>
    <row r="26" ht="24.9" customHeight="1">
      <c r="A26" s="73" t="inlineStr">
        <is>
          <t>B</t>
        </is>
      </c>
      <c r="B26" s="74" t="n">
        <v>6.67</v>
      </c>
      <c r="C26" s="74" t="n">
        <v>2.65</v>
      </c>
      <c r="D26" s="714">
        <f>C26</f>
        <v/>
      </c>
      <c r="E26" s="74" t="n">
        <v>0.78</v>
      </c>
      <c r="F26" s="2" t="n"/>
      <c r="G26" s="424" t="n"/>
      <c r="H26" s="759">
        <f>(1.5/$C$26)*$X$72</f>
        <v/>
      </c>
      <c r="I26" s="759">
        <f>(1.5/$B$26)*$X$73</f>
        <v/>
      </c>
      <c r="J26" s="759">
        <f>(1.5/$E$26)*$X$76</f>
        <v/>
      </c>
      <c r="K26" s="75" t="inlineStr">
        <is>
          <t>العينة</t>
        </is>
      </c>
      <c r="L26" s="75" t="inlineStr">
        <is>
          <t>ماء مقطر</t>
        </is>
      </c>
      <c r="M26" s="367" t="n"/>
      <c r="N26" s="603" t="n"/>
      <c r="O26" s="534" t="n"/>
      <c r="P26" s="614" t="n"/>
      <c r="Q26" s="614" t="n"/>
      <c r="R26" s="614" t="n"/>
      <c r="S26" s="614" t="n"/>
      <c r="T26" s="614" t="n"/>
      <c r="U26" s="614" t="n"/>
      <c r="V26" s="613" t="n"/>
      <c r="W26" s="582" t="n"/>
      <c r="AB26" s="602" t="inlineStr">
        <is>
          <t>Sulfuric acid reagent</t>
        </is>
      </c>
      <c r="AC26" s="602" t="inlineStr">
        <is>
          <t>5.5  g</t>
        </is>
      </c>
      <c r="AD26" s="602" t="inlineStr">
        <is>
          <t>543.5 ml</t>
        </is>
      </c>
      <c r="AE26" s="602" t="n"/>
      <c r="AF26" s="602" t="n"/>
      <c r="AG26" s="602" t="n"/>
      <c r="AH26" s="602" t="n"/>
      <c r="AI26" s="602" t="n"/>
      <c r="AJ26" s="602" t="n"/>
    </row>
    <row r="27" ht="24.9" customHeight="1">
      <c r="A27" s="73" t="inlineStr">
        <is>
          <t>S1</t>
        </is>
      </c>
      <c r="B27" s="74" t="n"/>
      <c r="C27" s="74" t="n"/>
      <c r="D27" s="74" t="n"/>
      <c r="E27" s="74" t="n"/>
      <c r="F27" s="2" t="n"/>
      <c r="G27" s="71" t="inlineStr">
        <is>
          <t>V</t>
        </is>
      </c>
      <c r="H27" s="72" t="n">
        <v>2.5</v>
      </c>
      <c r="I27" s="72" t="n"/>
      <c r="J27" s="534" t="n"/>
      <c r="K27" s="367" t="n">
        <v>49</v>
      </c>
      <c r="L27" s="367" t="n"/>
      <c r="M27" s="75" t="inlineStr">
        <is>
          <t>Influent HR</t>
        </is>
      </c>
      <c r="N27" s="603" t="n"/>
      <c r="O27" s="534" t="n"/>
      <c r="P27" s="602" t="n"/>
      <c r="Q27" s="602" t="n"/>
      <c r="R27" s="602" t="n"/>
      <c r="S27" s="602" t="n"/>
      <c r="T27" s="602" t="n"/>
      <c r="U27" s="602" t="n"/>
      <c r="V27" s="614" t="n"/>
      <c r="W27" s="614" t="n"/>
      <c r="AB27" s="602" t="inlineStr">
        <is>
          <t>LR ( 0 - 400 ) 0.5 L</t>
        </is>
      </c>
      <c r="AC27" s="602" t="n"/>
      <c r="AD27" s="602" t="n">
        <v>83.5</v>
      </c>
      <c r="AE27" s="602" t="n"/>
      <c r="AF27" s="602" t="n"/>
      <c r="AG27" s="602" t="inlineStr">
        <is>
          <t>To 500</t>
        </is>
      </c>
      <c r="AH27" s="602" t="n"/>
      <c r="AI27" s="602" t="n">
        <v>16.65</v>
      </c>
      <c r="AJ27" s="602" t="inlineStr">
        <is>
          <t>2.4515 g</t>
        </is>
      </c>
    </row>
    <row r="28" ht="24.9" customHeight="1">
      <c r="A28" s="73" t="inlineStr">
        <is>
          <t>COD</t>
        </is>
      </c>
      <c r="B28" s="760">
        <f>IF(B27="","",(IFERROR(((B26-B27)*$I$26*8000*$H$29)/$H$27,"")))</f>
        <v/>
      </c>
      <c r="C28" s="760">
        <f>IF(C27="","",(IFERROR(((C26-C27)*$H$26*8000*$I$29)/$H$27,"")))</f>
        <v/>
      </c>
      <c r="D28" s="760">
        <f>IF(D27="","",(IFERROR(((D26-D27)*$H$26*8000*$G$29)/H27,"")))</f>
        <v/>
      </c>
      <c r="E28" s="760">
        <f>IF(E27="","",(IFERROR(((E26-E27)*$J$26*8000*$J$29)/$H$27,"")))</f>
        <v/>
      </c>
      <c r="F28" s="2" t="n"/>
      <c r="G28" s="71" t="inlineStr">
        <is>
          <t>Influent LR</t>
        </is>
      </c>
      <c r="H28" s="71" t="inlineStr">
        <is>
          <t>Influent HR</t>
        </is>
      </c>
      <c r="I28" s="71" t="inlineStr">
        <is>
          <t>effluent</t>
        </is>
      </c>
      <c r="J28" s="71" t="inlineStr">
        <is>
          <t>effluent</t>
        </is>
      </c>
      <c r="K28" s="367" t="n">
        <v>100</v>
      </c>
      <c r="L28" s="367" t="n"/>
      <c r="M28" s="75" t="inlineStr">
        <is>
          <t>Effluent (0-400)</t>
        </is>
      </c>
      <c r="N28" s="603" t="n"/>
      <c r="O28" s="534" t="n"/>
      <c r="P28" s="614" t="n"/>
      <c r="Q28" s="614" t="n"/>
      <c r="R28" s="614" t="n"/>
      <c r="S28" s="614" t="n"/>
      <c r="T28" s="614" t="n"/>
      <c r="U28" s="614" t="n"/>
      <c r="V28" s="614" t="n"/>
      <c r="W28" s="614" t="n"/>
      <c r="AB28" s="602" t="inlineStr">
        <is>
          <t>HR ( 100 - 900 ) 0.5 L</t>
        </is>
      </c>
      <c r="AC28" s="602" t="n"/>
      <c r="AD28" s="602" t="n">
        <v>83.5</v>
      </c>
      <c r="AE28" s="602" t="n"/>
      <c r="AF28" s="602" t="n"/>
      <c r="AG28" s="602" t="inlineStr">
        <is>
          <t>To 500</t>
        </is>
      </c>
      <c r="AH28" s="602" t="n"/>
      <c r="AI28" s="602" t="n">
        <v>16.65</v>
      </c>
      <c r="AJ28" s="602" t="n">
        <v>5.108</v>
      </c>
    </row>
    <row r="29" ht="24.9" customHeight="1">
      <c r="A29" s="73" t="inlineStr">
        <is>
          <t>S2</t>
        </is>
      </c>
      <c r="B29" s="72" t="n"/>
      <c r="C29" s="72" t="n"/>
      <c r="D29" s="72" t="n"/>
      <c r="E29" s="72" t="n"/>
      <c r="F29" s="2" t="n"/>
      <c r="G29" s="424">
        <f>($L$29+$K$29)/$K$29</f>
        <v/>
      </c>
      <c r="H29" s="424">
        <f>($L$27+$K$27)/$K$27</f>
        <v/>
      </c>
      <c r="I29" s="424">
        <f>($L$28+$K$28)/$K$28</f>
        <v/>
      </c>
      <c r="J29" s="424">
        <f>($L$30+$K$30)/$K$30</f>
        <v/>
      </c>
      <c r="K29" s="367" t="n">
        <v>100</v>
      </c>
      <c r="L29" s="367" t="n"/>
      <c r="M29" s="76" t="inlineStr">
        <is>
          <t>Influent   LR</t>
        </is>
      </c>
      <c r="N29" s="619" t="n">
        <v>88.8879</v>
      </c>
      <c r="O29" s="619" t="n">
        <v>49</v>
      </c>
      <c r="P29" s="708" t="n">
        <v>1</v>
      </c>
      <c r="Q29" s="708">
        <f>N30</f>
        <v/>
      </c>
      <c r="R29" s="708" t="n"/>
      <c r="S29" s="708" t="n"/>
      <c r="T29" s="708" t="n"/>
      <c r="U29" s="708" t="n"/>
      <c r="W29" s="619" t="n"/>
      <c r="AB29" s="602" t="inlineStr">
        <is>
          <t>LR ( 0 - 90 ) 0.5 L</t>
        </is>
      </c>
      <c r="AC29" s="602" t="n"/>
      <c r="AD29" s="602" t="n">
        <v>83.5</v>
      </c>
      <c r="AE29" s="602" t="n"/>
      <c r="AF29" s="602" t="n"/>
      <c r="AG29" s="602" t="inlineStr">
        <is>
          <t>To 500</t>
        </is>
      </c>
      <c r="AH29" s="602" t="n"/>
      <c r="AI29" s="602" t="n">
        <v>16.65</v>
      </c>
      <c r="AJ29" s="602" t="n">
        <v>0.511</v>
      </c>
    </row>
    <row r="30" ht="24.9" customHeight="1">
      <c r="A30" s="73" t="inlineStr">
        <is>
          <t>COD</t>
        </is>
      </c>
      <c r="B30" s="760">
        <f>IF(B29="","",(IFERROR(((B26-B29)*$I$26*8000*$H$29)/$H$27,"")))</f>
        <v/>
      </c>
      <c r="C30" s="760">
        <f>IF(C29="","",(IFERROR(((C26-C29)*$H$26*8000*$I$29)/$H$27,"")))</f>
        <v/>
      </c>
      <c r="D30" s="760">
        <f>IF(D29="","",(IFERROR(((D26-D29)*$H$26*8000*$G$29)/$H$27,"")))</f>
        <v/>
      </c>
      <c r="E30" s="760">
        <f>IF(E29="","",(IFERROR(((E26-E29)*$J$26*8000*$J$29)/$H$27,"")))</f>
        <v/>
      </c>
      <c r="F30" s="2" t="n"/>
      <c r="G30" s="2" t="n"/>
      <c r="H30" s="2" t="n"/>
      <c r="I30" s="2" t="n"/>
      <c r="J30" s="534" t="n"/>
      <c r="K30" s="367" t="n">
        <v>100</v>
      </c>
      <c r="L30" s="367" t="n"/>
      <c r="M30" s="75" t="inlineStr">
        <is>
          <t>Effluent ( 0 - 70 )</t>
        </is>
      </c>
      <c r="N30" s="708">
        <f>N29/O29</f>
        <v/>
      </c>
      <c r="O30" s="619" t="n"/>
      <c r="P30" s="77">
        <f>P29/Q29*1000</f>
        <v/>
      </c>
      <c r="Q30" s="708" t="n">
        <v>1</v>
      </c>
      <c r="R30" s="77" t="n"/>
      <c r="S30" s="77" t="n"/>
      <c r="T30" s="77" t="n"/>
      <c r="U30" s="77" t="n"/>
      <c r="W30" s="619" t="n"/>
      <c r="AB30" s="602" t="inlineStr">
        <is>
          <t>Ferroin indicator stock 100 ml</t>
        </is>
      </c>
      <c r="AC30" s="602" t="n"/>
      <c r="AD30" s="602" t="n"/>
      <c r="AE30" s="602" t="inlineStr">
        <is>
          <t>1.485  g</t>
        </is>
      </c>
      <c r="AF30" s="602" t="inlineStr">
        <is>
          <t>0.695 g</t>
        </is>
      </c>
      <c r="AG30" s="602" t="inlineStr">
        <is>
          <t>To 100</t>
        </is>
      </c>
      <c r="AH30" s="602" t="n"/>
      <c r="AI30" s="602" t="n"/>
      <c r="AJ30" s="602" t="n"/>
    </row>
    <row r="31" ht="24.9" customHeight="1">
      <c r="A31" s="73" t="inlineStr">
        <is>
          <t>Average</t>
        </is>
      </c>
      <c r="B31" s="760">
        <f>IF(B26="","",IF(OR(B30="",B30=0),IF(OR(B28="",B28=0),"",B28),AVERAGE(B28,B30)))</f>
        <v/>
      </c>
      <c r="C31" s="760">
        <f>IF(C26="","",IF(OR(C30="",C30=0),IF(OR(C28="",C28=0),"",C28),AVERAGE(C28,C30)))</f>
        <v/>
      </c>
      <c r="D31" s="760">
        <f>IF(D26="","",IF(OR(D30="",D30=0),IF(OR(D28="",D28=0),"",D28),AVERAGE(D28,D30)))</f>
        <v/>
      </c>
      <c r="E31" s="760">
        <f>IF(E26="","",IF(OR(E30="",E30=0),IF(OR(E28="",E28=0),"",E28),AVERAGE(E28,E30)))</f>
        <v/>
      </c>
      <c r="F31" s="534" t="n"/>
      <c r="G31" s="534" t="n"/>
      <c r="H31" s="534" t="n"/>
      <c r="I31" s="534" t="n"/>
      <c r="J31" s="534" t="n"/>
      <c r="K31" s="534" t="n"/>
      <c r="L31" s="534" t="n"/>
      <c r="M31" s="534" t="n"/>
      <c r="N31" s="534" t="n"/>
      <c r="O31" s="534" t="n"/>
      <c r="P31" s="619" t="n"/>
      <c r="Q31" s="534" t="n"/>
      <c r="R31" s="534" t="n"/>
      <c r="S31" s="534" t="n"/>
      <c r="T31" s="534" t="n"/>
      <c r="U31" s="534" t="n"/>
      <c r="V31" s="534" t="n"/>
      <c r="W31" s="534" t="n"/>
      <c r="X31" s="602" t="n"/>
      <c r="Y31" s="582" t="n"/>
      <c r="AB31" s="602" t="inlineStr">
        <is>
          <t>FAS 0.025 N</t>
        </is>
      </c>
      <c r="AC31" s="602" t="n"/>
      <c r="AD31" s="602" t="inlineStr">
        <is>
          <t>2 ml</t>
        </is>
      </c>
      <c r="AE31" s="602" t="n"/>
      <c r="AF31" s="602" t="n"/>
      <c r="AG31" s="602" t="inlineStr">
        <is>
          <t>To 100</t>
        </is>
      </c>
      <c r="AH31" s="602" t="inlineStr">
        <is>
          <t>3.920  g</t>
        </is>
      </c>
      <c r="AI31" s="602" t="n"/>
      <c r="AJ31" s="602" t="n"/>
    </row>
    <row r="32" ht="24.9" customHeight="1">
      <c r="A32" s="73" t="inlineStr">
        <is>
          <t>STDV</t>
        </is>
      </c>
      <c r="B32" s="760">
        <f>IFERROR(STDEV(B28,B31),"")</f>
        <v/>
      </c>
      <c r="C32" s="760">
        <f>IFERROR(STDEV(C28,C31),"")</f>
        <v/>
      </c>
      <c r="D32" s="760">
        <f>IFERROR(STDEV(D28,D31),"")</f>
        <v/>
      </c>
      <c r="E32" s="760">
        <f>IFERROR(STDEV(E28,E31),"")</f>
        <v/>
      </c>
      <c r="F32" s="534" t="n"/>
      <c r="G32" s="534" t="n"/>
      <c r="H32" s="534" t="n"/>
      <c r="I32" s="534" t="n"/>
      <c r="J32" s="534" t="n"/>
      <c r="K32" s="534" t="n"/>
      <c r="L32" s="534" t="n"/>
      <c r="M32" s="603" t="n"/>
      <c r="N32" s="534" t="n"/>
      <c r="O32" s="534" t="n"/>
      <c r="P32" s="603" t="n"/>
      <c r="Q32" s="534" t="n"/>
      <c r="R32" s="534" t="n"/>
      <c r="S32" s="534" t="n"/>
      <c r="T32" s="534" t="n"/>
      <c r="U32" s="534" t="n"/>
      <c r="V32" s="534" t="n"/>
      <c r="W32" s="534" t="n"/>
      <c r="X32" s="615" t="n"/>
      <c r="Y32" s="582" t="n"/>
      <c r="AB32" s="602" t="inlineStr">
        <is>
          <t>FAS 0.0125 N</t>
        </is>
      </c>
      <c r="AC32" s="602" t="n"/>
      <c r="AD32" s="602" t="inlineStr">
        <is>
          <t>2 ml</t>
        </is>
      </c>
      <c r="AE32" s="602" t="n"/>
      <c r="AF32" s="602" t="n"/>
      <c r="AG32" s="602" t="inlineStr">
        <is>
          <t>To 100</t>
        </is>
      </c>
      <c r="AH32" s="602" t="inlineStr">
        <is>
          <t>1.96  g</t>
        </is>
      </c>
      <c r="AI32" s="602" t="n"/>
      <c r="AJ32" s="602" t="n"/>
    </row>
    <row r="33" ht="24.9" customHeight="1">
      <c r="A33" s="73" t="inlineStr">
        <is>
          <t>r</t>
        </is>
      </c>
      <c r="B33" s="760">
        <f>IFERROR(2.8*B32,"")</f>
        <v/>
      </c>
      <c r="C33" s="760">
        <f>IFERROR(2.8*C32,"")</f>
        <v/>
      </c>
      <c r="D33" s="760">
        <f>IFERROR(2.8*D32,"")</f>
        <v/>
      </c>
      <c r="E33" s="760">
        <f>IFERROR(2.8*E32,"")</f>
        <v/>
      </c>
      <c r="F33" s="534" t="n"/>
      <c r="G33" s="534" t="n"/>
      <c r="H33" s="534" t="n"/>
      <c r="I33" s="534" t="n"/>
      <c r="J33" s="534" t="n"/>
      <c r="K33" s="534" t="n"/>
      <c r="L33" s="534" t="n"/>
      <c r="M33" s="534" t="n"/>
      <c r="N33" s="534" t="n"/>
      <c r="O33" s="534" t="n"/>
      <c r="P33" s="534" t="n"/>
      <c r="Q33" s="534" t="n"/>
      <c r="R33" s="534" t="n"/>
      <c r="S33" s="534" t="n"/>
      <c r="T33" s="534" t="n"/>
      <c r="U33" s="534" t="n"/>
      <c r="V33" s="534" t="n"/>
      <c r="W33" s="534" t="n"/>
      <c r="AB33" s="602" t="inlineStr">
        <is>
          <t>FAS 0.025 N</t>
        </is>
      </c>
      <c r="AC33" s="602" t="n"/>
      <c r="AD33" s="602" t="inlineStr">
        <is>
          <t>10 ml</t>
        </is>
      </c>
      <c r="AE33" s="602" t="n"/>
      <c r="AF33" s="602" t="n"/>
      <c r="AG33" s="602" t="inlineStr">
        <is>
          <t>To 500</t>
        </is>
      </c>
      <c r="AH33" s="602" t="inlineStr">
        <is>
          <t>19.6  g</t>
        </is>
      </c>
      <c r="AI33" s="602" t="n"/>
      <c r="AJ33" s="602" t="n"/>
    </row>
    <row r="34" ht="24.9" customHeight="1">
      <c r="A34" s="73" t="inlineStr">
        <is>
          <t>CV</t>
        </is>
      </c>
      <c r="B34" s="78">
        <f>IFERROR(B32/B31,"")</f>
        <v/>
      </c>
      <c r="C34" s="78">
        <f>IFERROR(C32/C31,"")</f>
        <v/>
      </c>
      <c r="D34" s="78">
        <f>IFERROR(D32/D31,"")</f>
        <v/>
      </c>
      <c r="E34" s="78">
        <f>IFERROR(E32/E31,"")</f>
        <v/>
      </c>
      <c r="F34" s="534" t="n"/>
      <c r="G34" s="534" t="n"/>
      <c r="H34" s="534" t="n"/>
      <c r="I34" s="534" t="n"/>
      <c r="J34" s="534" t="n"/>
      <c r="K34" s="534" t="n"/>
      <c r="L34" s="534" t="n"/>
      <c r="M34" s="633" t="inlineStr">
        <is>
          <t>رجوع</t>
        </is>
      </c>
      <c r="N34" s="582" t="n"/>
      <c r="O34" s="534" t="n"/>
      <c r="P34" s="534" t="n"/>
      <c r="Q34" s="534" t="n"/>
      <c r="R34" s="534" t="n"/>
      <c r="S34" s="534" t="n"/>
      <c r="T34" s="534" t="n"/>
      <c r="U34" s="534" t="n"/>
      <c r="V34" s="534" t="n">
        <v>425</v>
      </c>
      <c r="W34" s="534" t="n">
        <v>250</v>
      </c>
      <c r="AB34" s="602" t="inlineStr">
        <is>
          <t>FAS 0.0125 N</t>
        </is>
      </c>
      <c r="AC34" s="602" t="n"/>
      <c r="AD34" s="602" t="inlineStr">
        <is>
          <t>10 ml</t>
        </is>
      </c>
      <c r="AE34" s="602" t="n"/>
      <c r="AF34" s="602" t="n"/>
      <c r="AG34" s="602" t="inlineStr">
        <is>
          <t>To 500</t>
        </is>
      </c>
      <c r="AH34" s="602" t="inlineStr">
        <is>
          <t>9.8  g</t>
        </is>
      </c>
      <c r="AI34" s="602" t="n"/>
      <c r="AJ34" s="602" t="n"/>
    </row>
    <row r="35" ht="24.9" customHeight="1">
      <c r="A35" s="73" t="inlineStr">
        <is>
          <t>RPD</t>
        </is>
      </c>
      <c r="B35" s="78">
        <f>IFERROR((ABS(B28-B30))/AVERAGE(B28,B30),"")</f>
        <v/>
      </c>
      <c r="C35" s="78">
        <f>IFERROR((ABS(C28-C30))/AVERAGE(C28,C30),"")</f>
        <v/>
      </c>
      <c r="D35" s="78">
        <f>IFERROR((ABS(D28-D30))/AVERAGE(D28,D30),"")</f>
        <v/>
      </c>
      <c r="E35" s="78">
        <f>IFERROR((ABS(E28-E30))/AVERAGE(E28,E30),"")</f>
        <v/>
      </c>
      <c r="F35" s="534" t="n"/>
      <c r="G35" s="534" t="n"/>
      <c r="H35" s="534" t="n"/>
      <c r="I35" s="534" t="n"/>
      <c r="J35" s="534" t="n"/>
      <c r="K35" s="534" t="n"/>
      <c r="L35" s="534" t="n"/>
      <c r="M35" s="582" t="n"/>
      <c r="N35" s="582" t="n"/>
      <c r="O35" s="534" t="n"/>
      <c r="P35" s="534" t="n"/>
      <c r="Q35" s="534" t="n"/>
      <c r="R35" s="534" t="n"/>
      <c r="S35" s="534" t="n"/>
      <c r="T35" s="534" t="n"/>
      <c r="U35" s="534" t="n"/>
      <c r="V35" s="534">
        <f>V34*W35/W34</f>
        <v/>
      </c>
      <c r="W35" s="534" t="n">
        <v>100</v>
      </c>
      <c r="AD35" s="582">
        <f>167/2</f>
        <v/>
      </c>
      <c r="AJ35" s="629" t="inlineStr">
        <is>
          <t>BACK</t>
        </is>
      </c>
    </row>
    <row r="36" ht="24.9" customHeight="1">
      <c r="A36" s="73" t="inlineStr">
        <is>
          <t>RPD</t>
        </is>
      </c>
      <c r="B36" s="78">
        <f>IFERROR((ABS(B27-B29))/AVERAGE(B27,B29),"")</f>
        <v/>
      </c>
      <c r="C36" s="78">
        <f>IFERROR((ABS(C27-C29))/AVERAGE(C27,C29),"")</f>
        <v/>
      </c>
      <c r="D36" s="78">
        <f>IFERROR((ABS(D27-D29))/AVERAGE(D27,D29),"")</f>
        <v/>
      </c>
      <c r="E36" s="78">
        <f>IFERROR((ABS(E27-E29))/AVERAGE(E27,E29),"")</f>
        <v/>
      </c>
      <c r="F36" s="534" t="n"/>
      <c r="G36" s="534" t="n"/>
      <c r="H36" s="534" t="n"/>
      <c r="I36" s="534" t="n"/>
      <c r="J36" s="534" t="n"/>
      <c r="K36" s="534" t="n"/>
      <c r="L36" s="534" t="n"/>
      <c r="M36" s="629" t="n"/>
      <c r="N36" s="629" t="n"/>
      <c r="O36" s="534" t="n"/>
      <c r="P36" s="534" t="n"/>
      <c r="Q36" s="534" t="n"/>
      <c r="R36" s="534" t="n"/>
      <c r="S36" s="534" t="n"/>
      <c r="T36" s="534" t="n"/>
      <c r="U36" s="534" t="n"/>
      <c r="V36" s="534" t="n"/>
      <c r="W36" s="534" t="n"/>
      <c r="AF36" s="223" t="n"/>
      <c r="AG36" s="223" t="n"/>
      <c r="AH36" s="223" t="n"/>
    </row>
    <row r="37" ht="24.9" customHeight="1">
      <c r="A37" s="534" t="n"/>
      <c r="B37" s="79" t="inlineStr">
        <is>
          <t>Standard</t>
        </is>
      </c>
      <c r="C37" s="79" t="inlineStr">
        <is>
          <t>S1</t>
        </is>
      </c>
      <c r="D37" s="79" t="inlineStr">
        <is>
          <t>S1R</t>
        </is>
      </c>
      <c r="E37" s="79" t="inlineStr">
        <is>
          <t>S2</t>
        </is>
      </c>
      <c r="F37" s="79" t="inlineStr">
        <is>
          <t>S2R</t>
        </is>
      </c>
      <c r="G37" s="79" t="inlineStr">
        <is>
          <t>Mean</t>
        </is>
      </c>
      <c r="H37" s="79" t="inlineStr">
        <is>
          <t>STD</t>
        </is>
      </c>
      <c r="I37" s="79" t="inlineStr">
        <is>
          <t>r</t>
        </is>
      </c>
      <c r="J37" s="79" t="inlineStr">
        <is>
          <t>Precission</t>
        </is>
      </c>
      <c r="K37" s="534" t="n"/>
      <c r="L37" s="534" t="n"/>
      <c r="M37" s="629" t="n"/>
      <c r="N37" s="629" t="n"/>
      <c r="O37" s="534" t="n"/>
      <c r="P37" s="534" t="n"/>
      <c r="Q37" s="534" t="n"/>
      <c r="R37" s="534" t="n"/>
      <c r="S37" s="534" t="n"/>
      <c r="T37" s="534" t="n"/>
      <c r="U37" s="534" t="n"/>
      <c r="V37" s="534" t="n"/>
      <c r="W37" s="534" t="n"/>
      <c r="AF37" s="223" t="n"/>
      <c r="AG37" s="223" t="n"/>
      <c r="AH37" s="223" t="n"/>
    </row>
    <row r="38" ht="24.9" customHeight="1">
      <c r="A38" s="534" t="n"/>
      <c r="B38" s="80" t="inlineStr">
        <is>
          <t>70 (  0 - 70 )</t>
        </is>
      </c>
      <c r="C38" s="534" t="n"/>
      <c r="D38" s="758">
        <f>IF(C38="","",IFERROR((($E$26-C38)*$J$26*8000)/$H$27,""))</f>
        <v/>
      </c>
      <c r="E38" s="534" t="n"/>
      <c r="F38" s="758">
        <f>IF(E38="","",IFERROR((($E$26-E38)*$J$26*8000)/$H$27,""))</f>
        <v/>
      </c>
      <c r="G38" s="758">
        <f>IFERROR(AVERAGE(D38,F38),"")</f>
        <v/>
      </c>
      <c r="H38" s="758">
        <f>IFERROR(STDEV(D38,F38),"")</f>
        <v/>
      </c>
      <c r="I38" s="758">
        <f>IFERROR(2.8*H38,"")</f>
        <v/>
      </c>
      <c r="J38" s="81">
        <f>IFERROR(H38/G38,"")</f>
        <v/>
      </c>
      <c r="K38" s="534" t="n"/>
      <c r="L38" s="534" t="n"/>
      <c r="M38" s="534" t="n"/>
      <c r="N38" s="534" t="n"/>
      <c r="O38" s="534" t="n"/>
      <c r="P38" s="534" t="n"/>
      <c r="Q38" s="534" t="n"/>
      <c r="R38" s="534" t="n"/>
      <c r="S38" s="534" t="n"/>
      <c r="T38" s="534" t="n"/>
      <c r="U38" s="534" t="n"/>
      <c r="V38" s="534" t="n"/>
      <c r="W38" s="534" t="n"/>
      <c r="AF38" s="223" t="n"/>
      <c r="AG38" s="223" t="n"/>
      <c r="AH38" s="223" t="n"/>
    </row>
    <row r="39" ht="24.9" customHeight="1">
      <c r="A39" s="631" t="inlineStr">
        <is>
          <t>Standards</t>
        </is>
      </c>
      <c r="B39" s="80" t="inlineStr">
        <is>
          <t>10 (  0 - 70 )</t>
        </is>
      </c>
      <c r="C39" s="534" t="n"/>
      <c r="D39" s="758">
        <f>IF(C39="","",IFERROR((($E$26-C39)*$J$26*8000)/$H$27,""))</f>
        <v/>
      </c>
      <c r="E39" s="534" t="n"/>
      <c r="F39" s="758">
        <f>IF(E39="","",IFERROR((($E$26-E39)*$J$26*8000)/$H$27,""))</f>
        <v/>
      </c>
      <c r="G39" s="758">
        <f>IFERROR(AVERAGE(D39,F39),"")</f>
        <v/>
      </c>
      <c r="H39" s="758">
        <f>IFERROR(STDEV(D39,F39),"")</f>
        <v/>
      </c>
      <c r="I39" s="758">
        <f>IFERROR(2.8*H39,"")</f>
        <v/>
      </c>
      <c r="J39" s="81">
        <f>IFERROR(H39/G39,"")</f>
        <v/>
      </c>
      <c r="K39" s="534" t="n"/>
      <c r="L39" s="534" t="n"/>
      <c r="M39" s="534" t="n"/>
      <c r="N39" s="534" t="n"/>
      <c r="O39" s="534" t="n"/>
      <c r="P39" s="534" t="n"/>
      <c r="Q39" s="534" t="n"/>
      <c r="R39" s="534" t="n"/>
      <c r="S39" s="534" t="n"/>
      <c r="T39" s="534" t="n"/>
      <c r="U39" s="534" t="n"/>
      <c r="V39" s="534" t="n"/>
      <c r="W39" s="534" t="n"/>
      <c r="AF39" s="223" t="n"/>
      <c r="AG39" s="223" t="n"/>
      <c r="AH39" s="223" t="n"/>
    </row>
    <row r="40" ht="24.9" customHeight="1">
      <c r="A40" s="534" t="n"/>
      <c r="B40" s="80" t="inlineStr">
        <is>
          <t>50   ( 50 - 400 )</t>
        </is>
      </c>
      <c r="C40" s="534" t="n"/>
      <c r="D40" s="758">
        <f>IF(C40="","",IFERROR((($C$26-C40)*$H$26*8000)/$H$27,""))</f>
        <v/>
      </c>
      <c r="E40" s="534" t="n"/>
      <c r="F40" s="758">
        <f>IF(E40="","",IFERROR((($C$26-E40)*$H$26*8000)/$H$27,""))</f>
        <v/>
      </c>
      <c r="G40" s="758">
        <f>IFERROR(AVERAGE(D40,F40),"")</f>
        <v/>
      </c>
      <c r="H40" s="758">
        <f>IFERROR(STDEV(D40,F40),"")</f>
        <v/>
      </c>
      <c r="I40" s="758">
        <f>IFERROR(2.8*H40,"")</f>
        <v/>
      </c>
      <c r="J40" s="81">
        <f>IFERROR(H40/G40,"")</f>
        <v/>
      </c>
      <c r="K40" s="534" t="n"/>
      <c r="L40" s="534" t="n"/>
      <c r="M40" s="534" t="n"/>
      <c r="N40" s="534" t="n"/>
      <c r="O40" s="534" t="n"/>
      <c r="P40" s="534" t="n"/>
      <c r="Q40" s="534" t="n"/>
      <c r="R40" s="534" t="n"/>
      <c r="S40" s="534" t="n"/>
      <c r="T40" s="534" t="n"/>
      <c r="U40" s="534" t="n"/>
      <c r="V40" s="534" t="n"/>
      <c r="W40" s="534" t="n"/>
      <c r="AF40" s="223" t="n"/>
      <c r="AG40" s="223" t="n"/>
      <c r="AH40" s="223" t="n"/>
    </row>
    <row r="41" ht="24.9" customHeight="1">
      <c r="A41" s="534" t="n"/>
      <c r="B41" s="80" t="inlineStr">
        <is>
          <t>90  (  0 - 70 )</t>
        </is>
      </c>
      <c r="C41" s="534" t="n"/>
      <c r="D41" s="758">
        <f>IF(C41="","",IFERROR((($E$26-C41)*$J$26*8000)/$H$27,""))</f>
        <v/>
      </c>
      <c r="E41" s="534" t="n"/>
      <c r="F41" s="758">
        <f>IF(E41="","",IFERROR((($E$26-E41)*$J$26*8000)/$H$27,""))</f>
        <v/>
      </c>
      <c r="G41" s="758">
        <f>IFERROR(AVERAGE(D41,F41),"")</f>
        <v/>
      </c>
      <c r="H41" s="758">
        <f>IFERROR(STDEV(D41,F41),"")</f>
        <v/>
      </c>
      <c r="I41" s="758">
        <f>IFERROR(2.8*H41,"")</f>
        <v/>
      </c>
      <c r="J41" s="81">
        <f>IFERROR(H41/G41,"")</f>
        <v/>
      </c>
      <c r="K41" s="534" t="n"/>
      <c r="L41" s="534" t="n"/>
      <c r="M41" s="534" t="n"/>
      <c r="N41" s="534" t="n"/>
      <c r="O41" s="534" t="n"/>
      <c r="P41" s="534" t="n"/>
      <c r="Q41" s="534" t="n"/>
      <c r="R41" s="534" t="n"/>
      <c r="S41" s="534" t="n"/>
      <c r="T41" s="534" t="n"/>
      <c r="U41" s="534" t="n"/>
      <c r="V41" s="534" t="n"/>
      <c r="W41" s="534" t="n"/>
      <c r="AF41" s="223" t="n"/>
      <c r="AG41" s="223" t="n"/>
      <c r="AH41" s="223" t="n"/>
    </row>
    <row r="42" ht="24.9" customHeight="1">
      <c r="A42" s="534" t="n"/>
      <c r="B42" s="80" t="inlineStr">
        <is>
          <t>90  ( 50 - 400 )</t>
        </is>
      </c>
      <c r="C42" s="534" t="n"/>
      <c r="D42" s="758">
        <f>IF(C42="","",IFERROR((($C$26-C42)*$H$26*8000)/$H$27,""))</f>
        <v/>
      </c>
      <c r="E42" s="534" t="n"/>
      <c r="F42" s="758">
        <f>IF(E42="","",IFERROR((($C$26-E42)*$H$26*8000)/$H$27,""))</f>
        <v/>
      </c>
      <c r="G42" s="758">
        <f>IFERROR(AVERAGE(D42,F42),"")</f>
        <v/>
      </c>
      <c r="H42" s="758">
        <f>IFERROR(STDEV(D42,F42),"")</f>
        <v/>
      </c>
      <c r="I42" s="758">
        <f>IFERROR(2.8*H42,"")</f>
        <v/>
      </c>
      <c r="J42" s="81">
        <f>IFERROR(H42/G42,"")</f>
        <v/>
      </c>
      <c r="K42" s="534" t="n"/>
      <c r="L42" s="534" t="n"/>
      <c r="M42" s="534" t="n"/>
      <c r="N42" s="534" t="n"/>
      <c r="O42" s="534" t="n"/>
      <c r="P42" s="534" t="n"/>
      <c r="Q42" s="534" t="n"/>
      <c r="R42" s="534" t="n"/>
      <c r="S42" s="534" t="n"/>
      <c r="T42" s="534" t="n"/>
      <c r="U42" s="534" t="n"/>
      <c r="V42" s="534" t="n"/>
      <c r="W42" s="534" t="n"/>
      <c r="AF42" s="223" t="n"/>
      <c r="AG42" s="223" t="n"/>
      <c r="AH42" s="223" t="n"/>
    </row>
    <row r="43" ht="24.9" customHeight="1">
      <c r="A43" s="534" t="n"/>
      <c r="B43" s="80" t="inlineStr">
        <is>
          <t>120  ( 50 - 400 )</t>
        </is>
      </c>
      <c r="C43" s="534" t="n"/>
      <c r="D43" s="758">
        <f>IF(C43="","",IFERROR((($C$26-C43)*$H$26*8000)/$H$27,""))</f>
        <v/>
      </c>
      <c r="E43" s="534" t="n"/>
      <c r="F43" s="758">
        <f>IF(E43="","",IFERROR((($C$26-E43)*$H$26*8000)/$H$27,""))</f>
        <v/>
      </c>
      <c r="G43" s="758">
        <f>IFERROR(AVERAGE(D43,F43),"")</f>
        <v/>
      </c>
      <c r="H43" s="758">
        <f>IFERROR(STDEV(D43,F43),"")</f>
        <v/>
      </c>
      <c r="I43" s="758">
        <f>IFERROR(2.8*H43,"")</f>
        <v/>
      </c>
      <c r="J43" s="81">
        <f>IFERROR(H43/G43,"")</f>
        <v/>
      </c>
      <c r="K43" s="534" t="n"/>
      <c r="L43" s="534" t="n"/>
      <c r="M43" s="82" t="inlineStr">
        <is>
          <t>Spike</t>
        </is>
      </c>
      <c r="N43" s="82" t="inlineStr">
        <is>
          <t>LR</t>
        </is>
      </c>
      <c r="O43" s="82" t="inlineStr">
        <is>
          <t>Spike</t>
        </is>
      </c>
      <c r="P43" s="82" t="inlineStr">
        <is>
          <t>HR</t>
        </is>
      </c>
      <c r="Q43" s="82" t="n"/>
      <c r="R43" s="82" t="n"/>
      <c r="S43" s="82" t="n"/>
      <c r="T43" s="82" t="n"/>
      <c r="U43" s="82" t="n"/>
      <c r="V43" s="83" t="inlineStr">
        <is>
          <t>Spike v</t>
        </is>
      </c>
      <c r="W43" s="84" t="n">
        <v>50</v>
      </c>
      <c r="AF43" s="223" t="n"/>
      <c r="AG43" s="223" t="n"/>
      <c r="AH43" s="223" t="n"/>
    </row>
    <row r="44" ht="24.9" customHeight="1">
      <c r="A44" s="534" t="n"/>
      <c r="B44" s="80" t="inlineStr">
        <is>
          <t>400  ( 50 - 400 )</t>
        </is>
      </c>
      <c r="C44" s="534" t="n"/>
      <c r="D44" s="758">
        <f>IF(C44="","",IFERROR((($C$26-C44)*$H$26*8000)/$H$27,""))</f>
        <v/>
      </c>
      <c r="E44" s="534" t="n"/>
      <c r="F44" s="758">
        <f>IF(E44="","",IFERROR((($C$26-E44)*$H$26*8000)/$H$27,""))</f>
        <v/>
      </c>
      <c r="G44" s="758">
        <f>IFERROR(AVERAGE(D44,F44),"")</f>
        <v/>
      </c>
      <c r="H44" s="758">
        <f>IFERROR(STDEV(D44,F44),"")</f>
        <v/>
      </c>
      <c r="I44" s="758">
        <f>IFERROR(2.8*H44,"")</f>
        <v/>
      </c>
      <c r="J44" s="81">
        <f>IFERROR(H44/G44,"")</f>
        <v/>
      </c>
      <c r="K44" s="534" t="n"/>
      <c r="L44" s="534" t="n"/>
      <c r="M44" s="82" t="n"/>
      <c r="N44" s="82" t="n"/>
      <c r="O44" s="82" t="n"/>
      <c r="P44" s="82" t="n"/>
      <c r="Q44" s="82" t="n"/>
      <c r="R44" s="82" t="n"/>
      <c r="S44" s="82" t="n"/>
      <c r="T44" s="82" t="n"/>
      <c r="U44" s="82" t="n"/>
      <c r="V44" s="83" t="inlineStr">
        <is>
          <t>STD v</t>
        </is>
      </c>
      <c r="W44" s="84" t="n">
        <v>5</v>
      </c>
      <c r="AF44" s="223" t="n"/>
      <c r="AG44" s="223" t="n"/>
      <c r="AH44" s="223" t="n"/>
    </row>
    <row r="45" ht="24.9" customHeight="1">
      <c r="A45" s="534" t="n"/>
      <c r="B45" s="534" t="n"/>
      <c r="C45" s="534" t="n"/>
      <c r="D45" s="534" t="n"/>
      <c r="E45" s="534" t="n"/>
      <c r="F45" s="534" t="n"/>
      <c r="G45" s="83" t="inlineStr">
        <is>
          <t>D</t>
        </is>
      </c>
      <c r="H45" s="83" t="inlineStr">
        <is>
          <t>FAS v</t>
        </is>
      </c>
      <c r="I45" s="83" t="inlineStr">
        <is>
          <t>COD LR</t>
        </is>
      </c>
      <c r="J45" s="83" t="inlineStr">
        <is>
          <t>D</t>
        </is>
      </c>
      <c r="K45" s="83" t="inlineStr">
        <is>
          <t>FAS v</t>
        </is>
      </c>
      <c r="L45" s="83" t="inlineStr">
        <is>
          <t>COD HR</t>
        </is>
      </c>
      <c r="M45" s="85" t="inlineStr">
        <is>
          <t>S1</t>
        </is>
      </c>
      <c r="N45" s="86" t="n"/>
      <c r="O45" s="85" t="inlineStr">
        <is>
          <t>S1</t>
        </is>
      </c>
      <c r="P45" s="86" t="n"/>
      <c r="Q45" s="86" t="n"/>
      <c r="R45" s="86" t="n"/>
      <c r="S45" s="86" t="n"/>
      <c r="T45" s="86" t="n"/>
      <c r="U45" s="86" t="n"/>
      <c r="V45" s="83" t="inlineStr">
        <is>
          <t>Sample v</t>
        </is>
      </c>
      <c r="W45" s="84" t="n">
        <v>45</v>
      </c>
    </row>
    <row r="46" ht="24.9" customHeight="1">
      <c r="A46" s="87" t="inlineStr">
        <is>
          <t>COD Procedure</t>
        </is>
      </c>
      <c r="B46" s="87" t="n"/>
      <c r="C46" s="87" t="inlineStr">
        <is>
          <t>5220 C.</t>
        </is>
      </c>
      <c r="D46" s="87" t="n"/>
      <c r="E46" s="534" t="n"/>
      <c r="F46" s="534" t="n"/>
      <c r="G46" s="761">
        <f>IFERROR(I46-$G$56,"")</f>
        <v/>
      </c>
      <c r="H46" s="88" t="n"/>
      <c r="I46" s="762">
        <f>IF(H46="","",(IFERROR(((C26-H46)*$H$26*8000*$I$29)/$H$27,"")))</f>
        <v/>
      </c>
      <c r="J46" s="761">
        <f>IFERROR(L46-$J$56,"")</f>
        <v/>
      </c>
      <c r="K46" s="88" t="n"/>
      <c r="L46" s="89">
        <f>IF(K46="","",(IFERROR(((B26-K46)*$I$26*8000*$H$29)/$H$27,"")))</f>
        <v/>
      </c>
      <c r="M46" s="85" t="inlineStr">
        <is>
          <t>COD</t>
        </is>
      </c>
      <c r="N46" s="763">
        <f>IF(N45="","",(IFERROR((($C$26-N45)*$H$26*8000*$I$29)/$H$27,"")))</f>
        <v/>
      </c>
      <c r="O46" s="85" t="inlineStr">
        <is>
          <t>COD</t>
        </is>
      </c>
      <c r="P46" s="763">
        <f>IF(P45="","",(IFERROR((($B$26-P45)*$I$26*8000*$H$29)/$H$27,"")))</f>
        <v/>
      </c>
      <c r="Q46" s="764" t="n"/>
      <c r="R46" s="764" t="n"/>
      <c r="S46" s="764" t="n"/>
      <c r="T46" s="764" t="n"/>
      <c r="U46" s="764" t="n"/>
      <c r="V46" s="534" t="n"/>
      <c r="W46" s="534" t="n"/>
    </row>
    <row r="47" ht="24.9" customHeight="1">
      <c r="A47" s="90" t="inlineStr">
        <is>
          <t>STDV</t>
        </is>
      </c>
      <c r="B47" s="90" t="inlineStr">
        <is>
          <t>±10</t>
        </is>
      </c>
      <c r="C47" s="91" t="n"/>
      <c r="D47" s="91" t="n"/>
      <c r="E47" s="534" t="n"/>
      <c r="F47" s="534" t="n"/>
      <c r="G47" s="761">
        <f>IFERROR(I47-$G$56,"")</f>
        <v/>
      </c>
      <c r="H47" s="88" t="n"/>
      <c r="I47" s="762">
        <f>IF(H47="","",(IFERROR(((C27-H47)*$H$26*8000*$I$29)/$H$27,"")))</f>
        <v/>
      </c>
      <c r="J47" s="761">
        <f>IFERROR(L47-$J$56,"")</f>
        <v/>
      </c>
      <c r="K47" s="88" t="n"/>
      <c r="L47" s="89">
        <f>IF(K47="","",(IFERROR(((B27-K47)*$I$26*8000*$H$29)/$H$27,"")))</f>
        <v/>
      </c>
      <c r="M47" s="85" t="inlineStr">
        <is>
          <t>S2</t>
        </is>
      </c>
      <c r="N47" s="88" t="n"/>
      <c r="O47" s="85" t="inlineStr">
        <is>
          <t>S2</t>
        </is>
      </c>
      <c r="P47" s="88" t="n"/>
      <c r="Q47" s="367" t="n"/>
      <c r="R47" s="367" t="n"/>
      <c r="S47" s="367" t="n"/>
      <c r="T47" s="367" t="n"/>
      <c r="U47" s="367" t="n"/>
      <c r="V47" s="534" t="n"/>
      <c r="W47" s="534" t="n"/>
    </row>
    <row r="48" ht="24.9" customHeight="1">
      <c r="A48" s="90" t="inlineStr">
        <is>
          <t>CV</t>
        </is>
      </c>
      <c r="B48" s="765" t="n">
        <v>0.048</v>
      </c>
      <c r="C48" s="91" t="n"/>
      <c r="D48" s="91" t="n"/>
      <c r="E48" s="534" t="n"/>
      <c r="F48" s="534" t="n"/>
      <c r="G48" s="761">
        <f>IFERROR(I48-$G$56,"")</f>
        <v/>
      </c>
      <c r="H48" s="88" t="n"/>
      <c r="I48" s="762">
        <f>IF(H48="","",(IFERROR(((C28-H48)*$H$26*8000*$I$29)/$H$27,"")))</f>
        <v/>
      </c>
      <c r="J48" s="761">
        <f>IFERROR(L48-$J$56,"")</f>
        <v/>
      </c>
      <c r="K48" s="88" t="n"/>
      <c r="L48" s="89">
        <f>IF(K48="","",(IFERROR(((B28-K48)*$I$26*8000*$H$29)/$H$27,"")))</f>
        <v/>
      </c>
      <c r="M48" s="85" t="inlineStr">
        <is>
          <t>COD</t>
        </is>
      </c>
      <c r="N48" s="763">
        <f>IF(N47="","",(IFERROR((($C$26-N47)*$H$26*8000*$I$29)/$H$27,"")))</f>
        <v/>
      </c>
      <c r="O48" s="85" t="inlineStr">
        <is>
          <t>COD</t>
        </is>
      </c>
      <c r="P48" s="763">
        <f>IF(P47="","",(IFERROR((($B$26-P47)*$I$26*8000*$H$29)/$H$27,"")))</f>
        <v/>
      </c>
      <c r="Q48" s="764" t="n"/>
      <c r="R48" s="764" t="n"/>
      <c r="S48" s="764" t="n"/>
      <c r="T48" s="764" t="n"/>
      <c r="U48" s="764" t="n"/>
      <c r="V48" s="534" t="n"/>
      <c r="W48" s="534" t="n"/>
    </row>
    <row r="49" ht="24.9" customHeight="1">
      <c r="A49" s="534" t="n"/>
      <c r="B49" s="534" t="n"/>
      <c r="C49" s="534" t="n"/>
      <c r="D49" s="534" t="n"/>
      <c r="E49" s="534" t="n"/>
      <c r="F49" s="534" t="n"/>
      <c r="G49" s="761">
        <f>IFERROR(I49-$G$56,"")</f>
        <v/>
      </c>
      <c r="H49" s="88" t="n"/>
      <c r="I49" s="762">
        <f>IF(H49="","",(IFERROR(((C29-H49)*$H$26*8000*$I$29)/$H$27,"")))</f>
        <v/>
      </c>
      <c r="J49" s="761">
        <f>IFERROR(L49-$J$56,"")</f>
        <v/>
      </c>
      <c r="K49" s="88" t="n"/>
      <c r="L49" s="89">
        <f>IF(K49="","",(IFERROR(((B29-K49)*$I$26*8000*$H$29)/$H$27,"")))</f>
        <v/>
      </c>
      <c r="M49" s="85" t="inlineStr">
        <is>
          <t>Average</t>
        </is>
      </c>
      <c r="N49" s="766">
        <f>IF(N46="","",IF(OR(N48="",N48=0),IF(OR(N46="",N46=0),"",N46),AVERAGE(N46,N48)))</f>
        <v/>
      </c>
      <c r="O49" s="85" t="inlineStr">
        <is>
          <t>Average</t>
        </is>
      </c>
      <c r="P49" s="766">
        <f>IF(P46="","",IF(OR(P48="",P48=0),IF(OR(P46="",P46=0),"",P46),AVERAGE(P46,P48)))</f>
        <v/>
      </c>
      <c r="Q49" s="767" t="n"/>
      <c r="R49" s="767" t="n"/>
      <c r="S49" s="767" t="n"/>
      <c r="T49" s="767" t="n"/>
      <c r="U49" s="767" t="n"/>
      <c r="V49" s="534" t="n"/>
      <c r="W49" s="534" t="n"/>
    </row>
    <row r="50" ht="24.9" customHeight="1">
      <c r="A50" s="534" t="n"/>
      <c r="B50" s="534" t="n"/>
      <c r="C50" s="534" t="n"/>
      <c r="D50" s="534" t="n"/>
      <c r="E50" s="534" t="n"/>
      <c r="F50" s="534" t="n"/>
      <c r="G50" s="761">
        <f>IFERROR(I50-$G$56,"")</f>
        <v/>
      </c>
      <c r="H50" s="88" t="n"/>
      <c r="I50" s="762">
        <f>IF(H50="","",(IFERROR(((C30-H50)*$H$26*8000*$I$29)/$H$27,"")))</f>
        <v/>
      </c>
      <c r="J50" s="761">
        <f>IFERROR(L50-$J$56,"")</f>
        <v/>
      </c>
      <c r="K50" s="88" t="n"/>
      <c r="L50" s="89">
        <f>IF(K50="","",(IFERROR(((B30-K50)*$I$26*8000*$H$29)/$H$27,"")))</f>
        <v/>
      </c>
      <c r="M50" s="85" t="inlineStr">
        <is>
          <t>Recovery</t>
        </is>
      </c>
      <c r="N50" s="92">
        <f>IFERROR((N48*H26-(C30*W44))/(I55*W43),"")</f>
        <v/>
      </c>
      <c r="O50" s="85" t="inlineStr">
        <is>
          <t>Recovery</t>
        </is>
      </c>
      <c r="P50" s="92">
        <f>IFERROR((P48*H26-(B30*W44))/(L55*W43),"")</f>
        <v/>
      </c>
      <c r="Q50" s="312" t="n"/>
      <c r="R50" s="312" t="n"/>
      <c r="S50" s="312" t="n"/>
      <c r="T50" s="312" t="n"/>
      <c r="U50" s="312" t="n"/>
      <c r="V50" s="534" t="n"/>
      <c r="W50" s="534" t="n"/>
    </row>
    <row r="51" ht="24.9" customHeight="1">
      <c r="A51" s="534" t="n"/>
      <c r="B51" s="534" t="n"/>
      <c r="C51" s="534" t="n"/>
      <c r="D51" s="534" t="n"/>
      <c r="E51" s="534" t="n"/>
      <c r="F51" s="534" t="n"/>
      <c r="G51" s="761">
        <f>IFERROR(I51-$G$56,"")</f>
        <v/>
      </c>
      <c r="H51" s="88" t="n"/>
      <c r="I51" s="762">
        <f>IF(H51="","",(IFERROR(((C31-H51)*$H$26*8000*$I$29)/$H$27,"")))</f>
        <v/>
      </c>
      <c r="J51" s="761">
        <f>IFERROR(L51-$J$56,"")</f>
        <v/>
      </c>
      <c r="K51" s="88" t="n"/>
      <c r="L51" s="89">
        <f>IF(K51="","",(IFERROR(((B31-K51)*$I$26*8000*$H$29)/$H$27,"")))</f>
        <v/>
      </c>
      <c r="M51" s="534" t="n"/>
      <c r="N51" s="534" t="n"/>
      <c r="O51" s="534" t="n"/>
      <c r="P51" s="534" t="n"/>
      <c r="Q51" s="534" t="n"/>
      <c r="R51" s="534" t="n"/>
      <c r="S51" s="534" t="n"/>
      <c r="T51" s="534" t="n"/>
      <c r="U51" s="534" t="n"/>
      <c r="V51" s="534" t="n"/>
      <c r="W51" s="534" t="n"/>
    </row>
    <row r="52" ht="24.9" customHeight="1">
      <c r="A52" s="534" t="n"/>
      <c r="B52" s="534" t="n"/>
      <c r="C52" s="534" t="n"/>
      <c r="D52" s="534" t="n"/>
      <c r="E52" s="534" t="n"/>
      <c r="F52" s="534" t="n"/>
      <c r="G52" s="761">
        <f>IFERROR(I52-$G$56,"")</f>
        <v/>
      </c>
      <c r="H52" s="88" t="n"/>
      <c r="I52" s="762">
        <f>IF(H52="","",(IFERROR(((C32-H52)*$H$26*8000*$I$29)/$H$27,"")))</f>
        <v/>
      </c>
      <c r="J52" s="761">
        <f>IFERROR(L52-$J$56,"")</f>
        <v/>
      </c>
      <c r="K52" s="88" t="n"/>
      <c r="L52" s="89">
        <f>IF(K52="","",(IFERROR(((B32-K52)*$I$26*8000*$H$29)/$H$27,"")))</f>
        <v/>
      </c>
      <c r="M52" s="534" t="n"/>
      <c r="N52" s="534" t="n"/>
      <c r="O52" s="534" t="n"/>
      <c r="P52" s="534" t="n"/>
      <c r="Q52" s="534" t="n"/>
      <c r="R52" s="534" t="n"/>
      <c r="S52" s="534" t="n"/>
      <c r="T52" s="534" t="n"/>
      <c r="U52" s="534" t="n"/>
      <c r="V52" s="534" t="n"/>
      <c r="W52" s="534" t="n"/>
    </row>
    <row r="53" ht="24.9" customHeight="1">
      <c r="A53" s="534" t="n"/>
      <c r="B53" s="534" t="n"/>
      <c r="C53" s="534" t="n"/>
      <c r="D53" s="534" t="n"/>
      <c r="E53" s="534" t="n"/>
      <c r="F53" s="534" t="n"/>
      <c r="G53" s="761">
        <f>IFERROR(I53-$G$56,"")</f>
        <v/>
      </c>
      <c r="H53" s="88" t="n"/>
      <c r="I53" s="762">
        <f>IF(H53="","",(IFERROR(((C33-H53)*$H$26*8000*$I$29)/$H$27,"")))</f>
        <v/>
      </c>
      <c r="J53" s="761">
        <f>IFERROR(L53-$J$56,"")</f>
        <v/>
      </c>
      <c r="K53" s="88" t="n"/>
      <c r="L53" s="89">
        <f>IF(K53="","",(IFERROR(((B33-K53)*$I$26*8000*$H$29)/$H$27,"")))</f>
        <v/>
      </c>
      <c r="M53" s="534" t="n"/>
      <c r="N53" s="534" t="n"/>
      <c r="O53" s="534" t="n"/>
      <c r="P53" s="534" t="n"/>
      <c r="Q53" s="534" t="n"/>
      <c r="R53" s="534" t="n"/>
      <c r="S53" s="534" t="n"/>
      <c r="T53" s="534" t="n"/>
      <c r="U53" s="534" t="n"/>
      <c r="V53" s="534" t="n"/>
      <c r="W53" s="534" t="n"/>
    </row>
    <row r="54" ht="24.9" customHeight="1">
      <c r="A54" s="534" t="n"/>
      <c r="B54" s="534" t="n"/>
      <c r="C54" s="534" t="n"/>
      <c r="D54" s="534" t="n"/>
      <c r="E54" s="534" t="n"/>
      <c r="F54" s="534" t="n"/>
      <c r="G54" s="761">
        <f>IFERROR(I54-$G$56,"")</f>
        <v/>
      </c>
      <c r="H54" s="88" t="n"/>
      <c r="I54" s="762">
        <f>IF(H54="","",(IFERROR(((C34-H54)*$H$26*8000*$I$29)/$H$27,"")))</f>
        <v/>
      </c>
      <c r="J54" s="761">
        <f>IFERROR(L54-$J$56,"")</f>
        <v/>
      </c>
      <c r="K54" s="88" t="n"/>
      <c r="L54" s="89">
        <f>IF(K54="","",(IFERROR(((B34-K54)*$I$26*8000*$H$29)/$H$27,"")))</f>
        <v/>
      </c>
      <c r="M54" s="534" t="n"/>
      <c r="N54" s="534" t="n"/>
      <c r="O54" s="534" t="n"/>
      <c r="P54" s="534" t="n"/>
      <c r="Q54" s="534" t="n"/>
      <c r="R54" s="534" t="n"/>
      <c r="S54" s="534" t="n"/>
      <c r="T54" s="534" t="n"/>
      <c r="U54" s="534" t="n"/>
      <c r="V54" s="534" t="n"/>
      <c r="W54" s="534" t="n"/>
    </row>
    <row r="55" ht="24.9" customHeight="1">
      <c r="A55" s="534" t="n"/>
      <c r="B55" s="534" t="n"/>
      <c r="C55" s="534" t="n"/>
      <c r="D55" s="534" t="n"/>
      <c r="E55" s="534" t="n"/>
      <c r="F55" s="534" t="n"/>
      <c r="G55" s="761">
        <f>IFERROR(I55-$G$56,"")</f>
        <v/>
      </c>
      <c r="H55" s="88" t="n"/>
      <c r="I55" s="762">
        <f>IF(H55="","",(IFERROR(((C35-H55)*$H$26*8000*$I$29)/$H$27,"")))</f>
        <v/>
      </c>
      <c r="J55" s="761">
        <f>IFERROR(L55-$J$56,"")</f>
        <v/>
      </c>
      <c r="K55" s="88" t="n"/>
      <c r="L55" s="89">
        <f>IF(K55="","",(IFERROR(((B35-K55)*$I$26*8000*$H$29)/$H$27,"")))</f>
        <v/>
      </c>
      <c r="M55" s="534" t="n"/>
      <c r="N55" s="534" t="n"/>
      <c r="O55" s="534" t="n"/>
      <c r="P55" s="534" t="n"/>
      <c r="Q55" s="534" t="n"/>
      <c r="R55" s="534" t="n"/>
      <c r="S55" s="534" t="n"/>
      <c r="T55" s="534" t="n"/>
      <c r="U55" s="534" t="n"/>
      <c r="V55" s="534" t="n"/>
      <c r="W55" s="534" t="n"/>
    </row>
    <row r="56" ht="24.9" customHeight="1">
      <c r="A56" s="534" t="n"/>
      <c r="B56" s="534" t="n">
        <v>25</v>
      </c>
      <c r="C56" s="534" t="n">
        <v>50</v>
      </c>
      <c r="D56" s="534" t="n"/>
      <c r="E56" s="534" t="n"/>
      <c r="F56" s="534" t="n"/>
      <c r="G56" s="93" t="n">
        <v>50</v>
      </c>
      <c r="H56" s="93" t="inlineStr">
        <is>
          <t>Average</t>
        </is>
      </c>
      <c r="I56" s="768">
        <f>IFERROR(AVERAGE(I46:I55),"")</f>
        <v/>
      </c>
      <c r="J56" s="93" t="n">
        <v>500</v>
      </c>
      <c r="K56" s="93" t="inlineStr">
        <is>
          <t>Average</t>
        </is>
      </c>
      <c r="L56" s="94">
        <f>IFERROR(AVERAGE(L46:L55),"")</f>
        <v/>
      </c>
      <c r="M56" s="534" t="n"/>
      <c r="N56" s="534" t="n"/>
      <c r="O56" s="534" t="n"/>
      <c r="P56" s="534" t="n"/>
      <c r="Q56" s="534" t="n"/>
      <c r="R56" s="534" t="n"/>
      <c r="S56" s="534" t="n"/>
      <c r="T56" s="534" t="n"/>
      <c r="U56" s="534" t="n"/>
      <c r="V56" s="534" t="n"/>
      <c r="W56" s="534" t="n"/>
    </row>
    <row r="57" ht="24.9" customHeight="1">
      <c r="A57" s="534" t="n"/>
      <c r="B57" s="534">
        <f>C56*B56/C57</f>
        <v/>
      </c>
      <c r="C57" s="534" t="n">
        <v>500</v>
      </c>
      <c r="D57" s="534" t="n"/>
      <c r="E57" s="534" t="n"/>
      <c r="F57" s="534" t="n"/>
      <c r="G57" s="769" t="n"/>
      <c r="H57" s="93" t="inlineStr">
        <is>
          <t>STDV</t>
        </is>
      </c>
      <c r="I57" s="762">
        <f>IFERROR(STDEV(I46:I55),"")</f>
        <v/>
      </c>
      <c r="J57" s="769" t="n"/>
      <c r="K57" s="93" t="inlineStr">
        <is>
          <t>STDV</t>
        </is>
      </c>
      <c r="L57" s="89">
        <f>IFERROR(STDEV(L46:L55),"")</f>
        <v/>
      </c>
      <c r="M57" s="534" t="n"/>
      <c r="N57" s="534" t="n"/>
      <c r="O57" s="534" t="n"/>
      <c r="P57" s="534" t="n"/>
      <c r="Q57" s="534" t="n"/>
      <c r="R57" s="534" t="n"/>
      <c r="S57" s="534" t="n"/>
      <c r="T57" s="534" t="n"/>
      <c r="U57" s="534" t="n"/>
      <c r="V57" s="534" t="n"/>
      <c r="W57" s="534" t="n"/>
    </row>
    <row r="58" ht="24.9" customHeight="1">
      <c r="A58" s="534" t="n"/>
      <c r="B58" s="534" t="n"/>
      <c r="C58" s="534" t="n"/>
      <c r="D58" s="534" t="n"/>
      <c r="E58" s="534" t="n"/>
      <c r="F58" s="534" t="n"/>
      <c r="G58" s="367" t="n"/>
      <c r="H58" s="93" t="inlineStr">
        <is>
          <t>r</t>
        </is>
      </c>
      <c r="I58" s="762">
        <f>IFERROR(2.8*I57,"")</f>
        <v/>
      </c>
      <c r="J58" s="367" t="n"/>
      <c r="K58" s="93" t="inlineStr">
        <is>
          <t>r</t>
        </is>
      </c>
      <c r="L58" s="89">
        <f>IFERROR(2.8*L57,"")</f>
        <v/>
      </c>
      <c r="M58" s="534" t="n"/>
      <c r="N58" s="534" t="n"/>
      <c r="O58" s="534" t="n"/>
      <c r="P58" s="534" t="n"/>
      <c r="Q58" s="534" t="n"/>
      <c r="R58" s="534" t="n"/>
      <c r="S58" s="534" t="n"/>
      <c r="T58" s="534" t="n"/>
      <c r="U58" s="534" t="n"/>
      <c r="V58" s="534" t="n"/>
      <c r="W58" s="534" t="n"/>
    </row>
    <row r="59" ht="24.9" customHeight="1">
      <c r="A59" s="534" t="n"/>
      <c r="B59" s="534" t="n"/>
      <c r="C59" s="534" t="n"/>
      <c r="D59" s="534" t="n"/>
      <c r="E59" s="534" t="n"/>
      <c r="F59" s="534" t="n"/>
      <c r="G59" s="367" t="n"/>
      <c r="H59" s="93" t="inlineStr">
        <is>
          <t>CV</t>
        </is>
      </c>
      <c r="I59" s="89">
        <f>IFERROR(I57/I56,"")</f>
        <v/>
      </c>
      <c r="J59" s="367" t="n"/>
      <c r="K59" s="93" t="inlineStr">
        <is>
          <t>CV</t>
        </is>
      </c>
      <c r="L59" s="89">
        <f>IFERROR(L57/L56,"")</f>
        <v/>
      </c>
      <c r="M59" s="534" t="n"/>
      <c r="N59" s="534" t="n"/>
      <c r="O59" s="534" t="n"/>
      <c r="P59" s="534" t="n"/>
      <c r="Q59" s="534" t="n"/>
      <c r="R59" s="534" t="n"/>
      <c r="S59" s="534" t="n"/>
      <c r="T59" s="534" t="n"/>
      <c r="U59" s="534" t="n"/>
      <c r="V59" s="534" t="n"/>
      <c r="W59" s="534" t="n"/>
    </row>
    <row r="60" ht="24.9" customHeight="1">
      <c r="A60" s="534" t="n"/>
      <c r="B60" s="534" t="n"/>
      <c r="C60" s="534" t="n"/>
      <c r="D60" s="534" t="n"/>
      <c r="E60" s="534" t="n"/>
      <c r="F60" s="534" t="n"/>
      <c r="G60" s="534" t="n"/>
      <c r="H60" s="93" t="inlineStr">
        <is>
          <t>D%</t>
        </is>
      </c>
      <c r="I60" s="89">
        <f>IFERROR((G56-I56)/G56,"")</f>
        <v/>
      </c>
      <c r="J60" s="367" t="n"/>
      <c r="K60" s="93" t="inlineStr">
        <is>
          <t>D%</t>
        </is>
      </c>
      <c r="L60" s="89">
        <f>IFERROR((J56-L56)/J56,"")</f>
        <v/>
      </c>
      <c r="M60" s="534" t="n"/>
      <c r="N60" s="534" t="n"/>
      <c r="O60" s="534" t="n"/>
      <c r="P60" s="534" t="n"/>
      <c r="Q60" s="534" t="n"/>
      <c r="R60" s="534" t="n"/>
      <c r="S60" s="534" t="n"/>
      <c r="T60" s="534" t="n"/>
      <c r="U60" s="534" t="n"/>
      <c r="V60" s="534" t="n"/>
      <c r="W60" s="534" t="n"/>
    </row>
    <row r="61" ht="24.9" customHeight="1">
      <c r="A61" s="534" t="n"/>
      <c r="B61" s="534" t="n"/>
      <c r="C61" s="534" t="n"/>
      <c r="D61" s="534" t="n"/>
      <c r="E61" s="534" t="n"/>
      <c r="F61" s="534" t="n"/>
      <c r="G61" s="534" t="n"/>
      <c r="H61" s="93" t="inlineStr">
        <is>
          <t>Bias</t>
        </is>
      </c>
      <c r="I61" s="762">
        <f>SUM(G46:G55)/10</f>
        <v/>
      </c>
      <c r="J61" s="534" t="n"/>
      <c r="K61" s="93" t="inlineStr">
        <is>
          <t>Bias</t>
        </is>
      </c>
      <c r="L61" s="762">
        <f>SUM(J46:J55)/10</f>
        <v/>
      </c>
      <c r="M61" s="534" t="n"/>
      <c r="N61" s="534" t="n"/>
      <c r="O61" s="534" t="n"/>
      <c r="P61" s="534" t="n"/>
      <c r="Q61" s="534" t="n"/>
      <c r="R61" s="534" t="n"/>
      <c r="S61" s="534" t="n"/>
      <c r="T61" s="534" t="n"/>
      <c r="U61" s="534" t="n"/>
      <c r="V61" s="534" t="n"/>
      <c r="W61" s="534" t="n"/>
    </row>
    <row r="62" ht="24.9" customHeight="1">
      <c r="A62" s="534" t="n"/>
      <c r="B62" s="534" t="n"/>
      <c r="C62" s="534" t="n"/>
      <c r="D62" s="534" t="n"/>
      <c r="E62" s="534" t="n"/>
      <c r="F62" s="534" t="n"/>
      <c r="G62" s="534" t="n"/>
      <c r="H62" s="534" t="n"/>
      <c r="I62" s="534" t="n"/>
      <c r="J62" s="534" t="n"/>
      <c r="K62" s="534" t="n"/>
      <c r="L62" s="534" t="n"/>
      <c r="M62" s="534" t="n"/>
      <c r="N62" s="534" t="n"/>
      <c r="O62" s="534" t="n"/>
      <c r="P62" s="534" t="n"/>
      <c r="Q62" s="534" t="n"/>
      <c r="R62" s="534" t="n"/>
      <c r="S62" s="534" t="n"/>
      <c r="T62" s="534" t="n"/>
      <c r="U62" s="534" t="n"/>
      <c r="V62" s="534" t="n"/>
      <c r="W62" s="534" t="n"/>
    </row>
    <row r="63" ht="24.9" customHeight="1"/>
    <row r="64" ht="24.9" customHeight="1">
      <c r="B64" s="79" t="inlineStr">
        <is>
          <t>Standard</t>
        </is>
      </c>
      <c r="C64" s="79" t="inlineStr">
        <is>
          <t>S1</t>
        </is>
      </c>
      <c r="D64" s="79" t="inlineStr">
        <is>
          <t>S1R</t>
        </is>
      </c>
      <c r="E64" s="79" t="inlineStr">
        <is>
          <t>S2</t>
        </is>
      </c>
      <c r="F64" s="79" t="inlineStr">
        <is>
          <t>S2R</t>
        </is>
      </c>
      <c r="G64" s="79" t="inlineStr">
        <is>
          <t>Mean</t>
        </is>
      </c>
      <c r="H64" s="79" t="inlineStr">
        <is>
          <t>STD</t>
        </is>
      </c>
      <c r="I64" s="79" t="inlineStr">
        <is>
          <t>r</t>
        </is>
      </c>
      <c r="J64" s="79" t="inlineStr">
        <is>
          <t>Precission</t>
        </is>
      </c>
    </row>
    <row r="65" ht="24.9" customHeight="1">
      <c r="B65" s="80" t="inlineStr">
        <is>
          <t>100 ( 200 - 900 )</t>
        </is>
      </c>
      <c r="C65" s="534" t="n"/>
      <c r="D65" s="758">
        <f>IF(C65="","",IFERROR((($B$26-C65)*$I$26*8000)/$H$27,""))</f>
        <v/>
      </c>
      <c r="E65" s="534" t="n"/>
      <c r="F65" s="758">
        <f>IF(E65="","",IFERROR((($B$26-E65)*$I$26*8000)/$H$27,""))</f>
        <v/>
      </c>
      <c r="G65" s="758">
        <f>IFERROR(AVERAGE(D65,F65),"")</f>
        <v/>
      </c>
      <c r="H65" s="758">
        <f>IFERROR(STDEV(D65,F65),"")</f>
        <v/>
      </c>
      <c r="I65" s="758">
        <f>IFERROR(2.8*H65,"")</f>
        <v/>
      </c>
      <c r="J65" s="81">
        <f>IFERROR(H65/G65,"")</f>
        <v/>
      </c>
    </row>
    <row r="66" ht="24.9" customHeight="1">
      <c r="B66" s="80" t="inlineStr">
        <is>
          <t>200 ( 200 - 900 )</t>
        </is>
      </c>
      <c r="C66" s="534" t="n"/>
      <c r="D66" s="758">
        <f>IF(C66="","",IFERROR((($B$26-C66)*$I$26*8000)/$H$27,""))</f>
        <v/>
      </c>
      <c r="E66" s="534" t="n"/>
      <c r="F66" s="758">
        <f>IF(E66="","",IFERROR((($B$26-E66)*$I$26*8000)/$H$27,""))</f>
        <v/>
      </c>
      <c r="G66" s="758">
        <f>IFERROR(AVERAGE(D66,F66),"")</f>
        <v/>
      </c>
      <c r="H66" s="758">
        <f>IFERROR(STDEV(D66,F66),"")</f>
        <v/>
      </c>
      <c r="I66" s="758">
        <f>IFERROR(2.8*H66,"")</f>
        <v/>
      </c>
      <c r="J66" s="81">
        <f>IFERROR(H66/G66,"")</f>
        <v/>
      </c>
    </row>
    <row r="67" ht="24.9" customHeight="1"/>
    <row r="68" ht="24.9" customHeight="1"/>
    <row r="69" ht="24.9" customHeight="1">
      <c r="A69" s="608" t="inlineStr">
        <is>
          <t>تسجيل التجربة</t>
        </is>
      </c>
      <c r="B69" s="534" t="n"/>
      <c r="C69" s="534" t="n"/>
      <c r="D69" s="534" t="n"/>
      <c r="E69" s="534" t="n"/>
      <c r="F69" s="534" t="n"/>
      <c r="G69" s="534" t="n"/>
      <c r="H69" s="534" t="n"/>
      <c r="I69" s="534" t="n"/>
      <c r="J69" s="534" t="n"/>
      <c r="K69" s="534" t="n"/>
      <c r="L69" s="534" t="n"/>
      <c r="M69" s="534" t="n"/>
      <c r="N69" s="534" t="n"/>
      <c r="O69" s="534" t="n"/>
      <c r="P69" s="534" t="n"/>
      <c r="Q69" s="534" t="n"/>
      <c r="R69" s="534" t="n"/>
      <c r="S69" s="534" t="n"/>
      <c r="T69" s="534" t="n"/>
      <c r="U69" s="534" t="n"/>
      <c r="V69" s="534" t="n"/>
      <c r="W69" s="534" t="n"/>
      <c r="X69" s="534" t="n"/>
    </row>
    <row r="70" ht="24.9" customHeight="1">
      <c r="A70" s="534" t="n"/>
      <c r="B70" s="534" t="n"/>
      <c r="C70" s="534" t="n"/>
      <c r="D70" s="534" t="n"/>
      <c r="E70" s="534" t="n"/>
      <c r="F70" s="534" t="n"/>
      <c r="G70" s="367" t="n"/>
      <c r="H70" s="367" t="n"/>
      <c r="I70" s="367" t="n"/>
      <c r="J70" s="367" t="n"/>
      <c r="K70" s="608" t="inlineStr">
        <is>
          <t>التخفيف</t>
        </is>
      </c>
      <c r="L70" s="534" t="n"/>
      <c r="M70" s="534" t="n"/>
      <c r="N70" s="534" t="n"/>
      <c r="O70" s="534" t="n"/>
      <c r="P70" s="88" t="n"/>
      <c r="Q70" s="88" t="n"/>
      <c r="R70" s="88" t="n"/>
      <c r="S70" s="88" t="n"/>
      <c r="T70" s="88" t="n"/>
      <c r="U70" s="88" t="n"/>
      <c r="V70" s="95" t="inlineStr">
        <is>
          <t>M.Wt.</t>
        </is>
      </c>
      <c r="W70" s="95" t="inlineStr">
        <is>
          <t>Molarity</t>
        </is>
      </c>
      <c r="X70" s="95" t="inlineStr">
        <is>
          <t>Normality</t>
        </is>
      </c>
    </row>
    <row r="71" ht="24.9" customHeight="1">
      <c r="A71" s="534" t="n"/>
      <c r="B71" s="534" t="n"/>
      <c r="C71" s="534" t="n"/>
      <c r="D71" s="534" t="n"/>
      <c r="E71" s="534" t="n"/>
      <c r="F71" s="534" t="n"/>
      <c r="G71" s="367" t="n"/>
      <c r="H71" s="367" t="n"/>
      <c r="I71" s="367" t="n"/>
      <c r="J71" s="367" t="n"/>
      <c r="K71" s="534" t="n"/>
      <c r="L71" s="534" t="n"/>
      <c r="M71" s="534" t="n"/>
      <c r="N71" s="534" t="n"/>
      <c r="O71" s="534" t="n"/>
      <c r="P71" s="96" t="inlineStr">
        <is>
          <t>Potassium dichromate</t>
        </is>
      </c>
      <c r="Q71" s="96" t="n"/>
      <c r="R71" s="96" t="n"/>
      <c r="S71" s="96" t="n"/>
      <c r="T71" s="96" t="n"/>
      <c r="U71" s="96" t="n"/>
      <c r="V71" s="88" t="n">
        <v>294.185</v>
      </c>
      <c r="W71" s="97">
        <f>IFERROR(V71/$V$71,"")</f>
        <v/>
      </c>
      <c r="X71" s="97">
        <f>IFERROR(W71*6,"")</f>
        <v/>
      </c>
    </row>
    <row r="72" ht="24.9" customHeight="1">
      <c r="A72" s="2" t="n"/>
      <c r="B72" s="73" t="inlineStr">
        <is>
          <t>Influent HR</t>
        </is>
      </c>
      <c r="C72" s="73" t="inlineStr">
        <is>
          <t xml:space="preserve"> Effluent LR</t>
        </is>
      </c>
      <c r="D72" s="73" t="inlineStr">
        <is>
          <t>Influent LR</t>
        </is>
      </c>
      <c r="E72" s="2" t="n"/>
      <c r="F72" s="2" t="n"/>
      <c r="G72" s="71" t="inlineStr">
        <is>
          <t>FAS</t>
        </is>
      </c>
      <c r="H72" s="71" t="inlineStr">
        <is>
          <t>Normality</t>
        </is>
      </c>
      <c r="I72" s="72" t="n"/>
      <c r="J72" s="367" t="n"/>
      <c r="K72" s="367" t="n"/>
      <c r="L72" s="367" t="n"/>
      <c r="M72" s="367" t="n"/>
      <c r="N72" s="534" t="n"/>
      <c r="O72" s="534" t="n"/>
      <c r="P72" s="98" t="inlineStr">
        <is>
          <t>LR ( 0 - 400)</t>
        </is>
      </c>
      <c r="Q72" s="98" t="n"/>
      <c r="R72" s="98" t="n"/>
      <c r="S72" s="98" t="n"/>
      <c r="T72" s="98" t="n"/>
      <c r="U72" s="98" t="n"/>
      <c r="V72" s="88" t="n">
        <v>4.903</v>
      </c>
      <c r="W72" s="97">
        <f>IFERROR(V72/$V$71,"")</f>
        <v/>
      </c>
      <c r="X72" s="770">
        <f>IFERROR(W72*6,"")</f>
        <v/>
      </c>
    </row>
    <row r="73" ht="24.9" customHeight="1">
      <c r="A73" s="73" t="inlineStr">
        <is>
          <t>B</t>
        </is>
      </c>
      <c r="B73" s="19" t="n">
        <v>11.89</v>
      </c>
      <c r="C73" s="19" t="n">
        <v>0.5</v>
      </c>
      <c r="D73" s="68">
        <f>C73</f>
        <v/>
      </c>
      <c r="E73" s="2" t="n"/>
      <c r="F73" s="2" t="n"/>
      <c r="G73" s="424" t="n"/>
      <c r="H73" s="759">
        <f>$H$26</f>
        <v/>
      </c>
      <c r="I73" s="72" t="n"/>
      <c r="J73" s="367" t="n"/>
      <c r="K73" s="75" t="inlineStr">
        <is>
          <t>العينة</t>
        </is>
      </c>
      <c r="L73" s="75" t="inlineStr">
        <is>
          <t>ماء مقطر</t>
        </is>
      </c>
      <c r="M73" s="367" t="n"/>
      <c r="N73" s="534" t="n"/>
      <c r="O73" s="534" t="n"/>
      <c r="P73" s="98" t="inlineStr">
        <is>
          <t>HR ( 100 - 900)</t>
        </is>
      </c>
      <c r="Q73" s="98" t="n"/>
      <c r="R73" s="98" t="n"/>
      <c r="S73" s="98" t="n"/>
      <c r="T73" s="98" t="n"/>
      <c r="U73" s="98" t="n"/>
      <c r="V73" s="88" t="n">
        <v>10.1216</v>
      </c>
      <c r="W73" s="97">
        <f>IFERROR(V73/$V$71,"")</f>
        <v/>
      </c>
      <c r="X73" s="770">
        <f>IFERROR(W73*6,"")</f>
        <v/>
      </c>
    </row>
    <row r="74" ht="24.9" customHeight="1">
      <c r="A74" s="73" t="inlineStr">
        <is>
          <t>S1</t>
        </is>
      </c>
      <c r="B74" s="19" t="n"/>
      <c r="C74" s="19" t="n"/>
      <c r="D74" s="19" t="n"/>
      <c r="E74" s="2" t="n"/>
      <c r="F74" s="2" t="n"/>
      <c r="G74" s="71" t="inlineStr">
        <is>
          <t>V</t>
        </is>
      </c>
      <c r="H74" s="72" t="n">
        <v>2</v>
      </c>
      <c r="I74" s="72" t="n"/>
      <c r="J74" s="367" t="n"/>
      <c r="K74" s="367" t="n">
        <v>100</v>
      </c>
      <c r="L74" s="367" t="n"/>
      <c r="M74" s="75" t="inlineStr">
        <is>
          <t>Influent HR</t>
        </is>
      </c>
      <c r="N74" s="534" t="n"/>
      <c r="O74" s="534" t="n"/>
      <c r="P74" s="98" t="inlineStr">
        <is>
          <t>LR ( Ready)</t>
        </is>
      </c>
      <c r="Q74" s="98" t="n"/>
      <c r="R74" s="98" t="n"/>
      <c r="S74" s="98" t="n"/>
      <c r="T74" s="98" t="n"/>
      <c r="U74" s="98" t="n"/>
      <c r="V74" s="88" t="n"/>
      <c r="W74" s="97">
        <f>IFERROR(V74/$V$71,"")</f>
        <v/>
      </c>
      <c r="X74" s="770">
        <f>IFERROR(W74*6,"")</f>
        <v/>
      </c>
    </row>
    <row r="75" ht="24.9" customHeight="1">
      <c r="A75" s="73" t="inlineStr">
        <is>
          <t>COD</t>
        </is>
      </c>
      <c r="B75" s="771">
        <f>IF(B74="","",IFERROR(((B73-B74)*$H$73*8000*$H$76)/$H$74,""))</f>
        <v/>
      </c>
      <c r="C75" s="771">
        <f>IF(C74="","",IFERROR(((C73-C74)*$H$73*8000*$H$76)/$H$74,""))</f>
        <v/>
      </c>
      <c r="D75" s="771">
        <f>IF(D74="","",IFERROR(((D73-D74)*$H$73*8000*$G$76)/$H$74,""))</f>
        <v/>
      </c>
      <c r="E75" s="2" t="n"/>
      <c r="F75" s="2" t="n"/>
      <c r="G75" s="71" t="inlineStr">
        <is>
          <t>Influent</t>
        </is>
      </c>
      <c r="H75" s="71" t="inlineStr">
        <is>
          <t>Influent</t>
        </is>
      </c>
      <c r="I75" s="71" t="inlineStr">
        <is>
          <t>effluent</t>
        </is>
      </c>
      <c r="J75" s="367" t="n"/>
      <c r="K75" s="367" t="n">
        <v>100</v>
      </c>
      <c r="L75" s="367" t="n"/>
      <c r="M75" s="75" t="inlineStr">
        <is>
          <t>Effluent</t>
        </is>
      </c>
      <c r="N75" s="534" t="n"/>
      <c r="O75" s="534" t="n"/>
      <c r="P75" s="98" t="inlineStr">
        <is>
          <t>HR ( Ready)</t>
        </is>
      </c>
      <c r="Q75" s="98" t="n"/>
      <c r="R75" s="98" t="n"/>
      <c r="S75" s="98" t="n"/>
      <c r="T75" s="98" t="n"/>
      <c r="U75" s="98" t="n"/>
      <c r="V75" s="88" t="n"/>
      <c r="W75" s="97">
        <f>IFERROR(V75/$V$71,"")</f>
        <v/>
      </c>
      <c r="X75" s="770">
        <f>IFERROR(W75*6,"")</f>
        <v/>
      </c>
    </row>
    <row r="76" ht="24.9" customHeight="1">
      <c r="A76" s="73" t="inlineStr">
        <is>
          <t>S2</t>
        </is>
      </c>
      <c r="B76" s="2" t="n"/>
      <c r="C76" s="2" t="n"/>
      <c r="D76" s="2" t="n"/>
      <c r="E76" s="2" t="n"/>
      <c r="F76" s="2" t="n"/>
      <c r="G76" s="424">
        <f>($K$76+$L$76)/$K$76</f>
        <v/>
      </c>
      <c r="H76" s="424">
        <f>($K$74+$L$74)/$K$74</f>
        <v/>
      </c>
      <c r="I76" s="424">
        <f>($K$75+$L$75)/$K$75</f>
        <v/>
      </c>
      <c r="J76" s="367" t="n"/>
      <c r="K76" s="367" t="n">
        <v>15</v>
      </c>
      <c r="L76" s="367" t="n"/>
      <c r="M76" s="76" t="inlineStr">
        <is>
          <t>Influent   LR</t>
        </is>
      </c>
      <c r="N76" s="534" t="n"/>
      <c r="O76" s="534" t="n"/>
      <c r="P76" s="98" t="inlineStr">
        <is>
          <t>LR ( 0 - 90)</t>
        </is>
      </c>
      <c r="Q76" s="98" t="n"/>
      <c r="R76" s="98" t="n"/>
      <c r="S76" s="98" t="n"/>
      <c r="T76" s="98" t="n"/>
      <c r="U76" s="98" t="n"/>
      <c r="V76" s="88" t="n">
        <v>1.022</v>
      </c>
      <c r="W76" s="97">
        <f>IFERROR(V76/$V$71,"")</f>
        <v/>
      </c>
      <c r="X76" s="770">
        <f>IFERROR(W76*6,"")</f>
        <v/>
      </c>
    </row>
    <row r="77" ht="24.9" customHeight="1">
      <c r="A77" s="73" t="inlineStr">
        <is>
          <t>COD</t>
        </is>
      </c>
      <c r="B77" s="771">
        <f>IF(B76="","",IFERROR(((B73-B76)*$H$73*8000*$H$76)/$H$74,""))</f>
        <v/>
      </c>
      <c r="C77" s="771">
        <f>IF(C76="","",IFERROR(((C73-C76)*$H$73*8000*$H$76)/$H$74,""))</f>
        <v/>
      </c>
      <c r="D77" s="771">
        <f>IF(D76="","",IFERROR(((D73-D76)*$H$73*8000*$G$76)/$H$74,""))</f>
        <v/>
      </c>
      <c r="E77" s="2" t="n"/>
      <c r="F77" s="2" t="n"/>
      <c r="G77" s="72" t="n"/>
      <c r="H77" s="72" t="n"/>
      <c r="I77" s="72" t="n"/>
      <c r="J77" s="367" t="n"/>
      <c r="K77" s="367" t="n"/>
      <c r="L77" s="367" t="n"/>
      <c r="M77" s="367" t="n"/>
      <c r="N77" s="534" t="n"/>
      <c r="O77" s="534" t="n"/>
      <c r="P77" s="99" t="n"/>
      <c r="Q77" s="99" t="n"/>
      <c r="R77" s="99" t="n"/>
      <c r="S77" s="99" t="n"/>
      <c r="T77" s="99" t="n"/>
      <c r="U77" s="99" t="n"/>
      <c r="V77" s="88" t="n"/>
      <c r="W77" s="97">
        <f>IFERROR(V77/$V$71,"")</f>
        <v/>
      </c>
      <c r="X77" s="770">
        <f>IFERROR(W77*6,"")</f>
        <v/>
      </c>
    </row>
    <row r="78" ht="24.9" customHeight="1">
      <c r="A78" s="73" t="inlineStr">
        <is>
          <t>Average</t>
        </is>
      </c>
      <c r="B78" s="771">
        <f>IF(B73="","",IF(OR(B77="",B77=0),IF(OR(B75="",B75=0),"",B75),AVERAGE(B75,B77)))</f>
        <v/>
      </c>
      <c r="C78" s="771">
        <f>IF(C73="","",IF(OR(C77="",C77=0),IF(OR(C75="",C75=0),"",C75),AVERAGE(C75,C77)))</f>
        <v/>
      </c>
      <c r="D78" s="771">
        <f>IF(D73="","",IF(OR(D77="",D77=0),IF(OR(D75="",D75=0),"",D75),AVERAGE(D75,D77)))</f>
        <v/>
      </c>
      <c r="E78" s="534" t="n"/>
      <c r="F78" s="534" t="n"/>
      <c r="G78" s="367" t="n"/>
      <c r="H78" s="367" t="n"/>
      <c r="I78" s="367" t="n"/>
      <c r="J78" s="367" t="n"/>
      <c r="K78" s="367" t="n"/>
      <c r="L78" s="367" t="n"/>
      <c r="M78" s="367" t="n"/>
      <c r="N78" s="534" t="n"/>
      <c r="O78" s="534" t="n"/>
      <c r="P78" s="534" t="n"/>
      <c r="Q78" s="534" t="n"/>
      <c r="R78" s="534" t="n"/>
      <c r="S78" s="534" t="n"/>
      <c r="T78" s="534" t="n"/>
      <c r="U78" s="534" t="n"/>
      <c r="V78" s="534" t="n"/>
      <c r="W78" s="534" t="n"/>
      <c r="X78" s="534" t="n"/>
    </row>
    <row r="79" ht="24.9" customHeight="1">
      <c r="A79" s="73" t="inlineStr">
        <is>
          <t>STDV</t>
        </is>
      </c>
      <c r="B79" s="771">
        <f>IFERROR(STDEV(B75,B78),"")</f>
        <v/>
      </c>
      <c r="C79" s="771">
        <f>IFERROR(STDEV(C75,C78),"")</f>
        <v/>
      </c>
      <c r="D79" s="771">
        <f>IFERROR(STDEV(D75,D78),"")</f>
        <v/>
      </c>
      <c r="E79" s="534" t="n"/>
      <c r="F79" s="534" t="n"/>
      <c r="G79" s="534" t="n"/>
      <c r="H79" s="534" t="n"/>
      <c r="I79" s="534" t="n"/>
      <c r="J79" s="534" t="n"/>
      <c r="K79" s="534" t="n"/>
      <c r="L79" s="534" t="n"/>
      <c r="M79" s="534" t="n"/>
      <c r="N79" s="534" t="n"/>
      <c r="O79" s="534" t="n"/>
      <c r="P79" s="534" t="n"/>
      <c r="Q79" s="534" t="n"/>
      <c r="R79" s="534" t="n"/>
      <c r="S79" s="534" t="n"/>
      <c r="T79" s="534" t="n"/>
      <c r="U79" s="534" t="n"/>
      <c r="V79" s="534" t="n"/>
      <c r="W79" s="534" t="n"/>
      <c r="X79" s="534" t="n"/>
    </row>
    <row r="80" ht="24.9" customHeight="1">
      <c r="A80" s="73" t="inlineStr">
        <is>
          <t>r</t>
        </is>
      </c>
      <c r="B80" s="771">
        <f>IFERROR(2.8*B79,"")</f>
        <v/>
      </c>
      <c r="C80" s="771">
        <f>IFERROR(2.8*C79,"")</f>
        <v/>
      </c>
      <c r="D80" s="771">
        <f>IFERROR(2.8*D79,"")</f>
        <v/>
      </c>
      <c r="E80" s="534" t="n"/>
      <c r="F80" s="534" t="n"/>
      <c r="G80" s="534" t="n"/>
      <c r="H80" s="534" t="n"/>
      <c r="I80" s="534" t="n"/>
      <c r="J80" s="534" t="n"/>
      <c r="K80" s="534" t="n"/>
      <c r="L80" s="534" t="n"/>
      <c r="M80" s="534" t="n"/>
      <c r="N80" s="534" t="n"/>
      <c r="O80" s="534" t="n"/>
      <c r="P80" s="534" t="n"/>
      <c r="Q80" s="534" t="n"/>
      <c r="R80" s="534" t="n"/>
      <c r="S80" s="534" t="n"/>
      <c r="T80" s="534" t="n"/>
      <c r="U80" s="534" t="n"/>
      <c r="V80" s="534" t="n"/>
      <c r="W80" s="534" t="n"/>
      <c r="X80" s="534" t="n"/>
    </row>
    <row r="81" ht="24.9" customHeight="1">
      <c r="A81" s="73" t="inlineStr">
        <is>
          <t>CV</t>
        </is>
      </c>
      <c r="B81" s="100">
        <f>IFERROR(B79/B78,"")</f>
        <v/>
      </c>
      <c r="C81" s="100">
        <f>IFERROR(C79/C78,"")</f>
        <v/>
      </c>
      <c r="D81" s="100">
        <f>IFERROR(D79/D78,"")</f>
        <v/>
      </c>
      <c r="E81" s="631" t="inlineStr">
        <is>
          <t>Standards</t>
        </is>
      </c>
      <c r="F81" s="534" t="n"/>
      <c r="G81" s="534" t="n"/>
      <c r="H81" s="534" t="n"/>
      <c r="I81" s="534" t="n"/>
      <c r="J81" s="534" t="n"/>
      <c r="K81" s="534" t="n"/>
      <c r="L81" s="534" t="n"/>
      <c r="M81" s="629" t="inlineStr">
        <is>
          <t>رجوع</t>
        </is>
      </c>
      <c r="N81" s="582" t="n"/>
      <c r="O81" s="534" t="n"/>
      <c r="P81" s="534" t="n"/>
      <c r="Q81" s="534" t="n"/>
      <c r="R81" s="534" t="n"/>
      <c r="S81" s="534" t="n"/>
      <c r="T81" s="534" t="n"/>
      <c r="U81" s="534" t="n"/>
      <c r="V81" s="534" t="n"/>
      <c r="W81" s="534" t="n"/>
      <c r="X81" s="534" t="n"/>
    </row>
    <row r="82" ht="24.9" customHeight="1">
      <c r="A82" s="73" t="inlineStr">
        <is>
          <t>RPD</t>
        </is>
      </c>
      <c r="B82" s="100">
        <f>IFERROR((ABS(B75-B77))/AVERAGE(B75,B77),"")</f>
        <v/>
      </c>
      <c r="C82" s="100">
        <f>IFERROR((ABS(C75-C77))/AVERAGE(C75,C77),"")</f>
        <v/>
      </c>
      <c r="D82" s="100">
        <f>IFERROR((ABS(D75-D77))/AVERAGE(D75,D77),"")</f>
        <v/>
      </c>
      <c r="E82" s="534" t="n"/>
      <c r="F82" s="534" t="n"/>
      <c r="G82" s="534" t="n"/>
      <c r="H82" s="534" t="n"/>
      <c r="I82" s="534" t="n"/>
      <c r="J82" s="534" t="n"/>
      <c r="K82" s="534" t="n"/>
      <c r="L82" s="534" t="n"/>
      <c r="M82" s="582" t="n"/>
      <c r="N82" s="582" t="n"/>
      <c r="O82" s="534" t="n"/>
      <c r="P82" s="534" t="n"/>
      <c r="Q82" s="534" t="n"/>
      <c r="R82" s="534" t="n"/>
      <c r="S82" s="534" t="n"/>
      <c r="T82" s="534" t="n"/>
      <c r="U82" s="534" t="n"/>
      <c r="V82" s="534" t="n"/>
      <c r="W82" s="534" t="n"/>
      <c r="X82" s="534" t="n"/>
    </row>
    <row r="83" ht="24.9" customHeight="1">
      <c r="A83" s="73" t="inlineStr">
        <is>
          <t>RPD</t>
        </is>
      </c>
      <c r="B83" s="100">
        <f>IFERROR((ABS(B74-B76))/AVERAGE(B74,B76),"")</f>
        <v/>
      </c>
      <c r="C83" s="100">
        <f>IFERROR((ABS(C74-C76))/AVERAGE(C74,C76),"")</f>
        <v/>
      </c>
      <c r="D83" s="100">
        <f>IFERROR((ABS(D74-D76))/AVERAGE(D74,D76),"")</f>
        <v/>
      </c>
      <c r="E83" s="534" t="n"/>
      <c r="F83" s="534" t="n"/>
      <c r="G83" s="534" t="n"/>
      <c r="H83" s="534" t="n"/>
      <c r="I83" s="534" t="n"/>
      <c r="J83" s="534" t="n"/>
      <c r="K83" s="534" t="n"/>
      <c r="L83" s="19" t="n"/>
      <c r="M83" s="582" t="n"/>
      <c r="N83" s="582" t="n"/>
      <c r="O83" s="534" t="n"/>
      <c r="P83" s="534" t="n"/>
      <c r="Q83" s="534" t="n"/>
      <c r="R83" s="534" t="n"/>
      <c r="S83" s="534" t="n"/>
      <c r="T83" s="534" t="n"/>
      <c r="U83" s="534" t="n"/>
      <c r="V83" s="534" t="n"/>
      <c r="W83" s="534" t="n"/>
      <c r="X83" s="534" t="n"/>
    </row>
    <row r="84" ht="24.9" customHeight="1">
      <c r="A84" s="534" t="n"/>
      <c r="B84" s="79" t="inlineStr">
        <is>
          <t>Standard</t>
        </is>
      </c>
      <c r="C84" s="79" t="inlineStr">
        <is>
          <t>S1</t>
        </is>
      </c>
      <c r="D84" s="79" t="inlineStr">
        <is>
          <t>S1R</t>
        </is>
      </c>
      <c r="E84" s="79" t="inlineStr">
        <is>
          <t>S2</t>
        </is>
      </c>
      <c r="F84" s="79" t="inlineStr">
        <is>
          <t>S2R</t>
        </is>
      </c>
      <c r="G84" s="79" t="inlineStr">
        <is>
          <t>Mean</t>
        </is>
      </c>
      <c r="H84" s="79" t="inlineStr">
        <is>
          <t>STD</t>
        </is>
      </c>
      <c r="I84" s="79" t="inlineStr">
        <is>
          <t>r</t>
        </is>
      </c>
      <c r="J84" s="79" t="inlineStr">
        <is>
          <t>Precission</t>
        </is>
      </c>
      <c r="K84" s="534" t="n"/>
      <c r="L84" s="534" t="n"/>
      <c r="M84" s="582" t="n"/>
      <c r="N84" s="582" t="n"/>
      <c r="O84" s="534" t="n"/>
      <c r="P84" s="534" t="n"/>
      <c r="Q84" s="534" t="n"/>
      <c r="R84" s="534" t="n"/>
      <c r="S84" s="534" t="n"/>
      <c r="T84" s="534" t="n"/>
      <c r="U84" s="534" t="n"/>
      <c r="V84" s="534" t="n"/>
      <c r="W84" s="534" t="n"/>
      <c r="X84" s="534" t="n"/>
    </row>
    <row r="85" ht="24.9" customHeight="1">
      <c r="A85" s="534" t="n"/>
      <c r="B85" s="101" t="n">
        <v>50</v>
      </c>
      <c r="C85" s="534" t="n"/>
      <c r="D85" s="758">
        <f>IF(C85="","",IFERROR((($C$73-C85)*$H$73*8000)/IF($I$74="",$H$74,$I$74),""))</f>
        <v/>
      </c>
      <c r="E85" s="534" t="n"/>
      <c r="F85" s="758">
        <f>IF(E85="","",IFERROR((($C$73-E85)*$H$73*8000)/IF($I$74="",$H$74,$I$74),""))</f>
        <v/>
      </c>
      <c r="G85" s="758">
        <f>IFERROR(AVERAGE(D85,F85),"")</f>
        <v/>
      </c>
      <c r="H85" s="758">
        <f>IFERROR(STDEV(D85,F85),"")</f>
        <v/>
      </c>
      <c r="I85" s="758">
        <f>IFERROR(2.8*H85,"")</f>
        <v/>
      </c>
      <c r="J85" s="81">
        <f>IFERROR(H85/G85,"")</f>
        <v/>
      </c>
      <c r="K85" s="534" t="n"/>
      <c r="L85" s="534" t="n"/>
      <c r="M85" s="534" t="n"/>
      <c r="N85" s="534" t="n"/>
      <c r="O85" s="534" t="n"/>
      <c r="P85" s="534" t="n"/>
      <c r="Q85" s="534" t="n"/>
      <c r="R85" s="534" t="n"/>
      <c r="S85" s="534" t="n"/>
      <c r="T85" s="534" t="n"/>
      <c r="U85" s="534" t="n"/>
      <c r="V85" s="534" t="n"/>
      <c r="W85" s="534" t="n"/>
      <c r="X85" s="534" t="n"/>
    </row>
    <row r="86" ht="24.9" customHeight="1">
      <c r="A86" s="534" t="n"/>
      <c r="B86" s="101" t="n">
        <v>100</v>
      </c>
      <c r="C86" s="534" t="n"/>
      <c r="D86" s="758">
        <f>IF(C86="","",IFERROR((($C$73-C86)*$H$73*8000)/IF($I$74="",$H$74,$I$74),""))</f>
        <v/>
      </c>
      <c r="E86" s="534" t="n"/>
      <c r="F86" s="758">
        <f>IF(E86="","",IFERROR((($C$73-E86)*$H$73*8000)/IF($I$74="",$H$74,$I$74),""))</f>
        <v/>
      </c>
      <c r="G86" s="758">
        <f>IFERROR(AVERAGE(D86,F86),"")</f>
        <v/>
      </c>
      <c r="H86" s="758">
        <f>IFERROR(STDEV(D86,F86),"")</f>
        <v/>
      </c>
      <c r="I86" s="758">
        <f>IFERROR(2.8*H86,"")</f>
        <v/>
      </c>
      <c r="J86" s="81">
        <f>IFERROR(H86/G86,"")</f>
        <v/>
      </c>
      <c r="K86" s="534" t="n"/>
      <c r="L86" s="758">
        <f>C98*2</f>
        <v/>
      </c>
      <c r="M86" s="534" t="n">
        <v>1</v>
      </c>
      <c r="N86" s="534" t="n">
        <v>4</v>
      </c>
      <c r="O86" s="534" t="n"/>
      <c r="P86" s="534" t="n"/>
      <c r="Q86" s="534" t="n"/>
      <c r="R86" s="534" t="n"/>
      <c r="S86" s="534" t="n"/>
      <c r="T86" s="534" t="n"/>
      <c r="U86" s="534" t="n"/>
      <c r="V86" s="534" t="n"/>
      <c r="W86" s="534" t="n"/>
      <c r="X86" s="534" t="n"/>
    </row>
    <row r="87" ht="24.9" customHeight="1">
      <c r="A87" s="534" t="n"/>
      <c r="B87" s="101" t="n">
        <v>400</v>
      </c>
      <c r="C87" s="534" t="n"/>
      <c r="D87" s="758">
        <f>IF(C87="","",IFERROR((($B$73-C87)*$H$73*8000)/IF($I$74="",$H$74,$I$74),""))</f>
        <v/>
      </c>
      <c r="E87" s="534" t="n"/>
      <c r="F87" s="758">
        <f>IF(E87="","",IFERROR((($B$73-E87)*$H$73*8000)/IF($I$74="",$H$74,$I$74),""))</f>
        <v/>
      </c>
      <c r="G87" s="758">
        <f>IFERROR(AVERAGE(D87,F87),"")</f>
        <v/>
      </c>
      <c r="H87" s="758">
        <f>IFERROR(STDEV(D87,F87),"")</f>
        <v/>
      </c>
      <c r="I87" s="758">
        <f>IFERROR(2.8*H87,"")</f>
        <v/>
      </c>
      <c r="J87" s="81">
        <f>IFERROR(H87/G87,"")</f>
        <v/>
      </c>
      <c r="K87" s="534" t="n"/>
      <c r="L87" s="534" t="n">
        <v>800</v>
      </c>
      <c r="M87" s="534" t="n">
        <v>100</v>
      </c>
      <c r="N87" s="758">
        <f>$M$87*L87/$L$86</f>
        <v/>
      </c>
      <c r="O87" s="534" t="n"/>
      <c r="P87" s="534" t="n">
        <v>2</v>
      </c>
      <c r="Q87" s="534" t="n"/>
      <c r="R87" s="534" t="n"/>
      <c r="S87" s="534" t="n"/>
      <c r="T87" s="534" t="n"/>
      <c r="U87" s="534" t="n"/>
      <c r="V87" s="534" t="n">
        <v>25</v>
      </c>
      <c r="W87" s="534" t="n">
        <v>1000</v>
      </c>
      <c r="X87" s="534" t="n"/>
    </row>
    <row r="88" ht="24.9" customHeight="1">
      <c r="A88" s="534" t="n"/>
      <c r="B88" s="101" t="n">
        <v>800</v>
      </c>
      <c r="C88" s="534" t="n"/>
      <c r="D88" s="758">
        <f>IF(C88="","",IFERROR((($B$73-C88)*$H$73*8000)/IF($I$74="",$H$74,$I$74),""))</f>
        <v/>
      </c>
      <c r="E88" s="534" t="n"/>
      <c r="F88" s="758">
        <f>IF(E88="","",IFERROR((($B$73-E88)*$H$73*8000)/IF($I$74="",$H$74,$I$74),""))</f>
        <v/>
      </c>
      <c r="G88" s="758">
        <f>IFERROR(AVERAGE(D88,F88),"")</f>
        <v/>
      </c>
      <c r="H88" s="758">
        <f>IFERROR(STDEV(D88,F88),"")</f>
        <v/>
      </c>
      <c r="I88" s="758">
        <f>IFERROR(2.8*H88,"")</f>
        <v/>
      </c>
      <c r="J88" s="81">
        <f>IFERROR(H88/G88,"")</f>
        <v/>
      </c>
      <c r="K88" s="534" t="n"/>
      <c r="L88" s="534" t="n">
        <v>600</v>
      </c>
      <c r="M88" s="534" t="n"/>
      <c r="N88" s="758">
        <f>$M$87*L88/$L$86</f>
        <v/>
      </c>
      <c r="O88" s="534" t="n"/>
      <c r="P88" s="534">
        <f>W88*$P$87/$W$87</f>
        <v/>
      </c>
      <c r="Q88" s="534" t="n"/>
      <c r="R88" s="534" t="n"/>
      <c r="S88" s="534" t="n"/>
      <c r="T88" s="534" t="n"/>
      <c r="U88" s="534" t="n"/>
      <c r="V88" s="534">
        <f>W88*$V$87/$W$87</f>
        <v/>
      </c>
      <c r="W88" s="534" t="n">
        <v>50</v>
      </c>
      <c r="X88" s="534" t="n"/>
    </row>
    <row r="89" ht="24.9" customHeight="1">
      <c r="A89" s="534" t="n"/>
      <c r="B89" s="101" t="n">
        <v>1000</v>
      </c>
      <c r="C89" s="534" t="n"/>
      <c r="D89" s="758">
        <f>IF(C89="","",IFERROR((($B$73-C89)*$H$73*8000)/IF($I$74="",$H$74,$I$74),""))</f>
        <v/>
      </c>
      <c r="E89" s="534" t="n"/>
      <c r="F89" s="758">
        <f>IF(E89="","",IFERROR((($B$73-E89)*$H$73*8000)/IF($I$74="",$H$74,$I$74),""))</f>
        <v/>
      </c>
      <c r="G89" s="758">
        <f>IFERROR(AVERAGE(D89,F89),"")</f>
        <v/>
      </c>
      <c r="H89" s="758">
        <f>IFERROR(STDEV(D89,F89),"")</f>
        <v/>
      </c>
      <c r="I89" s="758">
        <f>IFERROR(2.8*H89,"")</f>
        <v/>
      </c>
      <c r="J89" s="81">
        <f>IFERROR(H89/G89,"")</f>
        <v/>
      </c>
      <c r="K89" s="534" t="n"/>
      <c r="L89" s="534" t="n">
        <v>400</v>
      </c>
      <c r="M89" s="534" t="n"/>
      <c r="N89" s="758">
        <f>$M$87*L89/$L$86</f>
        <v/>
      </c>
      <c r="O89" s="534" t="n"/>
      <c r="P89" s="534">
        <f>W89*$P$87/$W$87</f>
        <v/>
      </c>
      <c r="Q89" s="534" t="n"/>
      <c r="R89" s="534" t="n"/>
      <c r="S89" s="534" t="n"/>
      <c r="T89" s="534" t="n"/>
      <c r="U89" s="534" t="n"/>
      <c r="V89" s="534">
        <f>W89*$V$87/$W$87</f>
        <v/>
      </c>
      <c r="W89" s="534" t="n">
        <v>100</v>
      </c>
      <c r="X89" s="534" t="n"/>
    </row>
    <row r="90" ht="24.9" customHeight="1">
      <c r="A90" s="534" t="n"/>
      <c r="B90" s="534" t="n"/>
      <c r="C90" s="534" t="n"/>
      <c r="D90" s="534" t="n"/>
      <c r="E90" s="534" t="n"/>
      <c r="F90" s="534" t="n"/>
      <c r="G90" s="534" t="n"/>
      <c r="H90" s="534" t="n"/>
      <c r="I90" s="534" t="n"/>
      <c r="K90" s="534" t="n"/>
      <c r="L90" s="534" t="n">
        <v>200</v>
      </c>
      <c r="M90" s="534" t="n"/>
      <c r="N90" s="758">
        <f>$M$87*L90/$L$86</f>
        <v/>
      </c>
      <c r="O90" s="534" t="n"/>
      <c r="P90" s="534">
        <f>W90*$P$87/$W$87</f>
        <v/>
      </c>
      <c r="Q90" s="534" t="n"/>
      <c r="R90" s="534" t="n"/>
      <c r="S90" s="534" t="n"/>
      <c r="T90" s="534" t="n"/>
      <c r="U90" s="534" t="n"/>
      <c r="V90" s="534">
        <f>W90*$V$87/$W$87</f>
        <v/>
      </c>
      <c r="W90" s="534" t="n">
        <v>400</v>
      </c>
      <c r="X90" s="534" t="n"/>
    </row>
    <row r="91" ht="24.9" customHeight="1">
      <c r="A91" s="534" t="n"/>
      <c r="B91" s="534" t="n"/>
      <c r="C91" s="534" t="n"/>
      <c r="D91" s="534" t="n"/>
      <c r="E91" s="534" t="n"/>
      <c r="F91" s="534" t="n"/>
      <c r="G91" s="534" t="n"/>
      <c r="H91" s="534" t="n"/>
      <c r="I91" s="534" t="n"/>
      <c r="J91" s="534" t="n"/>
      <c r="K91" s="534" t="n"/>
      <c r="L91" s="534" t="n">
        <v>140</v>
      </c>
      <c r="M91" s="534" t="n"/>
      <c r="N91" s="758">
        <f>$M$87*L91/$L$86</f>
        <v/>
      </c>
      <c r="O91" s="534" t="n"/>
      <c r="P91" s="534">
        <f>W91*$P$87/$W$87</f>
        <v/>
      </c>
      <c r="Q91" s="534" t="n"/>
      <c r="R91" s="534" t="n"/>
      <c r="S91" s="534" t="n"/>
      <c r="T91" s="534" t="n"/>
      <c r="U91" s="534" t="n"/>
      <c r="V91" s="534">
        <f>W91*$V$87/$W$87</f>
        <v/>
      </c>
      <c r="W91" s="534" t="n">
        <v>800</v>
      </c>
      <c r="X91" s="534" t="n"/>
    </row>
    <row r="92" ht="24.9" customHeight="1">
      <c r="L92" s="534" t="n">
        <v>120</v>
      </c>
      <c r="M92" s="534" t="n"/>
      <c r="N92" s="758">
        <f>$M$87*L92/$L$86</f>
        <v/>
      </c>
    </row>
    <row r="93">
      <c r="L93" s="534" t="n">
        <v>100</v>
      </c>
      <c r="M93" s="534" t="n"/>
      <c r="N93" s="758">
        <f>$M$87*L93/$L$86</f>
        <v/>
      </c>
    </row>
    <row r="94">
      <c r="L94" s="534" t="n">
        <v>80</v>
      </c>
      <c r="M94" s="534" t="n"/>
      <c r="N94" s="758">
        <f>$M$87*L94/$L$86</f>
        <v/>
      </c>
    </row>
    <row r="95">
      <c r="C95" s="241" t="inlineStr">
        <is>
          <t>COD</t>
        </is>
      </c>
      <c r="D95" s="241" t="inlineStr">
        <is>
          <t>KHP</t>
        </is>
      </c>
      <c r="L95" s="534" t="n">
        <v>60</v>
      </c>
      <c r="M95" s="534" t="n"/>
      <c r="N95" s="758">
        <f>$M$87*L95/$L$86</f>
        <v/>
      </c>
    </row>
    <row r="96">
      <c r="C96" s="240" t="n">
        <v>1.176</v>
      </c>
      <c r="D96" s="240" t="n">
        <v>1</v>
      </c>
      <c r="L96" s="534" t="n">
        <v>50</v>
      </c>
      <c r="M96" s="534" t="n"/>
      <c r="N96" s="758">
        <f>$M$87*L96/$L$86</f>
        <v/>
      </c>
    </row>
    <row r="97">
      <c r="C97" s="240">
        <f>$C$96*D97/$D$96</f>
        <v/>
      </c>
      <c r="D97" s="88" t="n">
        <v>425</v>
      </c>
      <c r="L97" s="534" t="n">
        <v>40</v>
      </c>
      <c r="M97" s="534" t="n"/>
      <c r="N97" s="758">
        <f>$M$87*L97/$L$86</f>
        <v/>
      </c>
    </row>
    <row r="98">
      <c r="C98" s="240">
        <f>$C$96*D98/$D$96</f>
        <v/>
      </c>
      <c r="D98" s="88" t="n">
        <v>426.8</v>
      </c>
      <c r="L98" s="534" t="n">
        <v>20</v>
      </c>
      <c r="M98" s="534" t="n"/>
      <c r="N98" s="758">
        <f>$M$87*L98/$L$86</f>
        <v/>
      </c>
    </row>
    <row r="99">
      <c r="L99" s="534" t="n">
        <v>900</v>
      </c>
      <c r="M99" s="534" t="n"/>
      <c r="N99" s="758">
        <f>$M$87*L99/$L$86</f>
        <v/>
      </c>
    </row>
    <row r="100">
      <c r="L100" s="534" t="n">
        <v>90</v>
      </c>
      <c r="M100" s="534" t="n"/>
      <c r="N100" s="758">
        <f>$M$87*L100/$L$86</f>
        <v/>
      </c>
    </row>
    <row r="101">
      <c r="L101" s="534" t="n">
        <v>70</v>
      </c>
      <c r="M101" s="534" t="n"/>
      <c r="N101" s="758">
        <f>$M$87*L101/$L$86</f>
        <v/>
      </c>
    </row>
    <row r="102">
      <c r="L102" s="534" t="n">
        <v>10</v>
      </c>
      <c r="M102" s="534" t="n"/>
      <c r="N102" s="758">
        <f>$M$87*L102/$L$86</f>
        <v/>
      </c>
    </row>
    <row r="103">
      <c r="L103" s="534" t="n">
        <v>300</v>
      </c>
      <c r="M103" s="534" t="n"/>
      <c r="N103" s="758">
        <f>$M$87*L103/$L$86</f>
        <v/>
      </c>
    </row>
    <row r="104">
      <c r="L104" s="534" t="n">
        <v>500</v>
      </c>
      <c r="M104" s="534" t="n"/>
      <c r="N104" s="758">
        <f>$M$87*L104/$L$86</f>
        <v/>
      </c>
    </row>
    <row r="105">
      <c r="L105" s="534" t="n">
        <v>700</v>
      </c>
      <c r="M105" s="534" t="n"/>
      <c r="N105" s="758">
        <f>$M$87*L105/$L$86</f>
        <v/>
      </c>
    </row>
    <row r="106">
      <c r="L106" s="534" t="n">
        <v>30</v>
      </c>
      <c r="M106" s="534" t="n"/>
      <c r="N106" s="758">
        <f>$M$87*L106/$L$86</f>
        <v/>
      </c>
    </row>
    <row r="107">
      <c r="L107" s="534" t="n">
        <v>110</v>
      </c>
      <c r="M107" s="534" t="n"/>
      <c r="N107" s="758">
        <f>$M$87*L107/$L$86</f>
        <v/>
      </c>
    </row>
    <row r="108">
      <c r="L108" s="534" t="n"/>
      <c r="M108" s="534" t="n"/>
      <c r="N108" s="534" t="n"/>
    </row>
    <row r="109">
      <c r="B109" s="226" t="inlineStr">
        <is>
          <t xml:space="preserve">Std Vol in 25 ml </t>
        </is>
      </c>
      <c r="C109" s="238">
        <f>$M$87*C110/$L$86</f>
        <v/>
      </c>
      <c r="D109" s="238">
        <f>$M$87*D110/$L$86</f>
        <v/>
      </c>
      <c r="E109" s="238">
        <f>$M$87*E110/$L$86</f>
        <v/>
      </c>
      <c r="F109" s="238">
        <f>$M$87*F110/$L$86</f>
        <v/>
      </c>
      <c r="G109" s="238">
        <f>$M$87*G110/$L$86</f>
        <v/>
      </c>
      <c r="H109" s="238">
        <f>$M$87*H110/$L$86</f>
        <v/>
      </c>
      <c r="I109" s="238">
        <f>$M$87*I110/$L$86</f>
        <v/>
      </c>
      <c r="J109" s="238">
        <f>$M$87*J110/$L$86</f>
        <v/>
      </c>
      <c r="K109" s="238">
        <f>$M$87*K110/$L$86</f>
        <v/>
      </c>
      <c r="L109" s="238">
        <f>$M$87*L110/$L$86</f>
        <v/>
      </c>
      <c r="M109" s="534" t="n"/>
      <c r="N109" s="534" t="n"/>
    </row>
    <row r="110">
      <c r="B110" s="226" t="inlineStr">
        <is>
          <t>Standard Conc</t>
        </is>
      </c>
      <c r="C110" s="242" t="n">
        <v>100</v>
      </c>
      <c r="D110" s="242" t="n">
        <v>200</v>
      </c>
      <c r="E110" s="242" t="n">
        <v>300</v>
      </c>
      <c r="F110" s="242" t="n">
        <v>400</v>
      </c>
      <c r="G110" s="242" t="n">
        <v>500</v>
      </c>
      <c r="H110" s="242" t="n">
        <v>600</v>
      </c>
      <c r="I110" s="242" t="n">
        <v>700</v>
      </c>
      <c r="J110" s="242" t="n">
        <v>800</v>
      </c>
      <c r="K110" s="242" t="n">
        <v>900</v>
      </c>
      <c r="L110" s="772">
        <f>L86</f>
        <v/>
      </c>
      <c r="M110" s="230" t="inlineStr">
        <is>
          <t>Average</t>
        </is>
      </c>
      <c r="N110" s="534" t="n"/>
    </row>
    <row r="111">
      <c r="B111" s="226" t="inlineStr">
        <is>
          <t>Titration</t>
        </is>
      </c>
      <c r="C111" s="590" t="n"/>
      <c r="D111" s="590" t="n"/>
      <c r="E111" s="590" t="n"/>
      <c r="F111" s="590" t="n"/>
      <c r="G111" s="590" t="n"/>
      <c r="H111" s="590" t="n"/>
      <c r="I111" s="590" t="n"/>
      <c r="J111" s="590" t="n"/>
      <c r="K111" s="590" t="n"/>
      <c r="L111" s="590" t="n"/>
      <c r="M111" s="231" t="n"/>
      <c r="N111" s="534" t="n"/>
    </row>
    <row r="112">
      <c r="B112" s="226" t="inlineStr">
        <is>
          <t>Recovery</t>
        </is>
      </c>
      <c r="C112" s="229">
        <f>IFERROR(IF(C111="","",(C111-C110)/C110),"")</f>
        <v/>
      </c>
      <c r="D112" s="229">
        <f>IFERROR(IF(D111="","",(D111-D110)/D110),"")</f>
        <v/>
      </c>
      <c r="E112" s="229">
        <f>IFERROR(IF(E111="","",(E111-E110)/E110),"")</f>
        <v/>
      </c>
      <c r="F112" s="229">
        <f>IFERROR(IF(F111="","",(F111-F110)/F110),"")</f>
        <v/>
      </c>
      <c r="G112" s="229">
        <f>IFERROR(IF(G111="","",(G111-G110)/G110),"")</f>
        <v/>
      </c>
      <c r="H112" s="229">
        <f>IFERROR(IF(H111="","",(H111-H110)/H110),"")</f>
        <v/>
      </c>
      <c r="I112" s="229">
        <f>IFERROR(IF(I111="","",(I111-I110)/I110),"")</f>
        <v/>
      </c>
      <c r="J112" s="229">
        <f>IFERROR(IF(J111="","",(J111-J110)/J110),"")</f>
        <v/>
      </c>
      <c r="K112" s="229">
        <f>IFERROR(IF(K111="","",(K111-K110)/K110),"")</f>
        <v/>
      </c>
      <c r="L112" s="229">
        <f>IFERROR(IF(L111="","",(L111-L110)/L110),"")</f>
        <v/>
      </c>
      <c r="M112" s="236">
        <f>IFERROR(AVERAGE(C112:L112),"")</f>
        <v/>
      </c>
      <c r="N112" s="534" t="n"/>
    </row>
    <row r="113">
      <c r="B113" s="226" t="inlineStr">
        <is>
          <t>Colorimetry</t>
        </is>
      </c>
      <c r="C113" s="590" t="n"/>
      <c r="D113" s="590" t="n"/>
      <c r="E113" s="590" t="n"/>
      <c r="F113" s="590" t="n"/>
      <c r="G113" s="590" t="n"/>
      <c r="H113" s="590" t="n"/>
      <c r="I113" s="590" t="n"/>
      <c r="J113" s="590" t="n"/>
      <c r="K113" s="590" t="n"/>
      <c r="L113" s="590" t="n"/>
      <c r="M113" s="232" t="n"/>
      <c r="N113" s="534" t="n"/>
    </row>
    <row r="114">
      <c r="B114" s="226" t="inlineStr">
        <is>
          <t>Recovery</t>
        </is>
      </c>
      <c r="C114" s="229">
        <f>IFERROR(IF(C113="","",(C113-C110)/C110),"")</f>
        <v/>
      </c>
      <c r="D114" s="229">
        <f>IFERROR(IF(D113="","",(D113-D110)/D110),"")</f>
        <v/>
      </c>
      <c r="E114" s="229">
        <f>IFERROR(IF(E113="","",(E113-E110)/E110),"")</f>
        <v/>
      </c>
      <c r="F114" s="229">
        <f>IFERROR(IF(F113="","",(F113-F110)/F110),"")</f>
        <v/>
      </c>
      <c r="G114" s="229">
        <f>IFERROR(IF(G113="","",(G113-G110)/G110),"")</f>
        <v/>
      </c>
      <c r="H114" s="229">
        <f>IFERROR(IF(H113="","",(H113-H110)/H110),"")</f>
        <v/>
      </c>
      <c r="I114" s="229">
        <f>IFERROR(IF(I113="","",(I113-I110)/I110),"")</f>
        <v/>
      </c>
      <c r="J114" s="229">
        <f>IFERROR(IF(J113="","",(J113-J110)/J110),"")</f>
        <v/>
      </c>
      <c r="K114" s="229">
        <f>IFERROR(IF(K113="","",(K113-K110)/K110),"")</f>
        <v/>
      </c>
      <c r="L114" s="229">
        <f>IFERROR(IF(L113="","",(L113-L110)/L110),"")</f>
        <v/>
      </c>
      <c r="M114" s="236">
        <f>IFERROR(AVERAGE(C114:L114),"")</f>
        <v/>
      </c>
      <c r="N114" s="534" t="n"/>
    </row>
    <row r="115">
      <c r="L115" s="534" t="n"/>
      <c r="M115" s="534" t="n"/>
      <c r="N115" s="534" t="n"/>
    </row>
    <row r="116">
      <c r="L116" s="534" t="n"/>
      <c r="M116" s="534" t="n"/>
      <c r="N116" s="534" t="n"/>
    </row>
    <row r="117">
      <c r="L117" s="534" t="n"/>
      <c r="M117" s="534" t="n"/>
      <c r="N117" s="534" t="n"/>
    </row>
    <row r="118">
      <c r="B118" s="227" t="inlineStr">
        <is>
          <t xml:space="preserve">Std Vol in 25 ml </t>
        </is>
      </c>
      <c r="C118" s="239">
        <f>$M$87*C119/$L$86</f>
        <v/>
      </c>
      <c r="D118" s="239">
        <f>$M$87*D119/$L$86</f>
        <v/>
      </c>
      <c r="E118" s="239">
        <f>$M$87*E119/$L$86</f>
        <v/>
      </c>
      <c r="F118" s="239">
        <f>$M$87*F119/$L$86</f>
        <v/>
      </c>
      <c r="G118" s="239">
        <f>$M$87*G119/$L$86</f>
        <v/>
      </c>
      <c r="H118" s="239">
        <f>$M$87*H119/$L$86</f>
        <v/>
      </c>
      <c r="I118" s="239">
        <f>$M$87*I119/$L$86</f>
        <v/>
      </c>
      <c r="J118" s="239">
        <f>$M$87*J119/$L$86</f>
        <v/>
      </c>
      <c r="K118" s="239">
        <f>$M$87*K119/$L$86</f>
        <v/>
      </c>
      <c r="M118" s="534" t="n"/>
      <c r="N118" s="534" t="n"/>
    </row>
    <row r="119">
      <c r="B119" s="227" t="inlineStr">
        <is>
          <t>Standard</t>
        </is>
      </c>
      <c r="C119" s="243" t="n">
        <v>10</v>
      </c>
      <c r="D119" s="243" t="n">
        <v>20</v>
      </c>
      <c r="E119" s="243" t="n">
        <v>30</v>
      </c>
      <c r="F119" s="243" t="n">
        <v>40</v>
      </c>
      <c r="G119" s="243" t="n">
        <v>50</v>
      </c>
      <c r="H119" s="243" t="n">
        <v>60</v>
      </c>
      <c r="I119" s="243" t="n">
        <v>70</v>
      </c>
      <c r="J119" s="243" t="n">
        <v>80</v>
      </c>
      <c r="K119" s="243" t="n">
        <v>90</v>
      </c>
      <c r="L119" s="233" t="inlineStr">
        <is>
          <t>Average</t>
        </is>
      </c>
    </row>
    <row r="120">
      <c r="B120" s="227" t="inlineStr">
        <is>
          <t>Titration</t>
        </is>
      </c>
      <c r="C120" s="590" t="n"/>
      <c r="D120" s="590" t="n"/>
      <c r="E120" s="590" t="n"/>
      <c r="F120" s="590" t="n"/>
      <c r="G120" s="590" t="n"/>
      <c r="H120" s="590" t="n"/>
      <c r="I120" s="590" t="n"/>
      <c r="J120" s="590" t="n"/>
      <c r="K120" s="590" t="n"/>
      <c r="L120" s="235" t="n"/>
    </row>
    <row r="121">
      <c r="B121" s="227" t="inlineStr">
        <is>
          <t>Recovery</t>
        </is>
      </c>
      <c r="C121" s="228">
        <f>IFERROR(IF(C120="","",(C120-C119)/C119),"")</f>
        <v/>
      </c>
      <c r="D121" s="228">
        <f>IFERROR(IF(D120="","",(D120-D119)/D119),"")</f>
        <v/>
      </c>
      <c r="E121" s="228">
        <f>IFERROR(IF(E120="","",(E120-E119)/E119),"")</f>
        <v/>
      </c>
      <c r="F121" s="228">
        <f>IFERROR(IF(F120="","",(F120-F119)/F119),"")</f>
        <v/>
      </c>
      <c r="G121" s="228">
        <f>IFERROR(IF(G120="","",(G120-G119)/G119),"")</f>
        <v/>
      </c>
      <c r="H121" s="228">
        <f>IFERROR(IF(H120="","",(H120-H119)/H119),"")</f>
        <v/>
      </c>
      <c r="I121" s="228">
        <f>IFERROR(IF(I120="","",(I120-I119)/I119),"")</f>
        <v/>
      </c>
      <c r="J121" s="228">
        <f>IFERROR(IF(J120="","",(J120-J119)/J119),"")</f>
        <v/>
      </c>
      <c r="K121" s="228">
        <f>IFERROR(IF(K120="","",(K120-K119)/K119),"")</f>
        <v/>
      </c>
      <c r="L121" s="237">
        <f>IFERROR(AVERAGE(B121:K121),"")</f>
        <v/>
      </c>
    </row>
    <row r="122">
      <c r="B122" s="227" t="inlineStr">
        <is>
          <t>Colorimetry</t>
        </is>
      </c>
      <c r="C122" s="590" t="n"/>
      <c r="D122" s="590" t="n"/>
      <c r="E122" s="590" t="n"/>
      <c r="F122" s="590" t="n"/>
      <c r="G122" s="590" t="n"/>
      <c r="H122" s="590" t="n"/>
      <c r="I122" s="590" t="n"/>
      <c r="J122" s="590" t="n"/>
      <c r="K122" s="590" t="n"/>
      <c r="L122" s="234" t="n"/>
    </row>
    <row r="123">
      <c r="B123" s="227" t="inlineStr">
        <is>
          <t>Recovery</t>
        </is>
      </c>
      <c r="C123" s="228">
        <f>IFERROR(IF(C122="","",(C122-C119)/C119),"")</f>
        <v/>
      </c>
      <c r="D123" s="228">
        <f>IFERROR(IF(D122="","",(D122-D119)/D119),"")</f>
        <v/>
      </c>
      <c r="E123" s="228">
        <f>IFERROR(IF(E122="","",(E122-E119)/E119),"")</f>
        <v/>
      </c>
      <c r="F123" s="228">
        <f>IFERROR(IF(F122="","",(F122-F119)/F119),"")</f>
        <v/>
      </c>
      <c r="G123" s="228">
        <f>IFERROR(IF(G122="","",(G122-G119)/G119),"")</f>
        <v/>
      </c>
      <c r="H123" s="228">
        <f>IFERROR(IF(H122="","",(H122-H119)/H119),"")</f>
        <v/>
      </c>
      <c r="I123" s="228">
        <f>IFERROR(IF(I122="","",(I122-I119)/I119),"")</f>
        <v/>
      </c>
      <c r="J123" s="228">
        <f>IFERROR(IF(J122="","",(J122-J119)/J119),"")</f>
        <v/>
      </c>
      <c r="K123" s="228">
        <f>IFERROR(IF(K122="","",(K122-K119)/K119),"")</f>
        <v/>
      </c>
      <c r="L123" s="237">
        <f>IFERROR(AVERAGE(B123:K123),"")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b0Uk/nJEZpq6bw8QbjbgQ==" formatRows="1" sort="1" spinCount="100000" hashValue="IHXbRTYR2GFBO4n01uAapTm7N9XJV31xE/oRCQfHqan3OGF2pIjES1zgYjqxvZA3luRFk3WqvxiBx8H48qaKTQ=="/>
  <mergeCells count="66">
    <mergeCell ref="K16:L16"/>
    <mergeCell ref="Q16:R16"/>
    <mergeCell ref="N26:O26"/>
    <mergeCell ref="S16:T16"/>
    <mergeCell ref="A15:B15"/>
    <mergeCell ref="I6:J6"/>
    <mergeCell ref="C15:D15"/>
    <mergeCell ref="I15:J15"/>
    <mergeCell ref="A11:B11"/>
    <mergeCell ref="K15:L15"/>
    <mergeCell ref="O6:P6"/>
    <mergeCell ref="A9:B9"/>
    <mergeCell ref="K9:L9"/>
    <mergeCell ref="M81:N84"/>
    <mergeCell ref="O15:P15"/>
    <mergeCell ref="M9:N9"/>
    <mergeCell ref="X32:Y32"/>
    <mergeCell ref="O9:P9"/>
    <mergeCell ref="E17:F17"/>
    <mergeCell ref="G17:H17"/>
    <mergeCell ref="A6:H6"/>
    <mergeCell ref="P31:W31"/>
    <mergeCell ref="S17:T17"/>
    <mergeCell ref="C16:D16"/>
    <mergeCell ref="A7:H7"/>
    <mergeCell ref="I16:J16"/>
    <mergeCell ref="I7:P7"/>
    <mergeCell ref="C9:D9"/>
    <mergeCell ref="A69:C70"/>
    <mergeCell ref="E9:F9"/>
    <mergeCell ref="M16:N16"/>
    <mergeCell ref="A12:B12"/>
    <mergeCell ref="E81:F82"/>
    <mergeCell ref="O16:P16"/>
    <mergeCell ref="M15:N15"/>
    <mergeCell ref="M32:O32"/>
    <mergeCell ref="E15:F15"/>
    <mergeCell ref="M6:N6"/>
    <mergeCell ref="Q15:R15"/>
    <mergeCell ref="G15:H15"/>
    <mergeCell ref="S15:T15"/>
    <mergeCell ref="N28:O28"/>
    <mergeCell ref="A14:B14"/>
    <mergeCell ref="Q9:R9"/>
    <mergeCell ref="P32:W32"/>
    <mergeCell ref="S9:T9"/>
    <mergeCell ref="V26:W26"/>
    <mergeCell ref="C17:D17"/>
    <mergeCell ref="M34:N35"/>
    <mergeCell ref="I17:J17"/>
    <mergeCell ref="K17:L17"/>
    <mergeCell ref="K70:M71"/>
    <mergeCell ref="M17:N17"/>
    <mergeCell ref="I8:P8"/>
    <mergeCell ref="O17:P17"/>
    <mergeCell ref="Q17:R17"/>
    <mergeCell ref="E16:F16"/>
    <mergeCell ref="G16:H16"/>
    <mergeCell ref="V25:W25"/>
    <mergeCell ref="A10:B10"/>
    <mergeCell ref="A13:B13"/>
    <mergeCell ref="X31:Y31"/>
    <mergeCell ref="N27:O27"/>
    <mergeCell ref="K6:L6"/>
    <mergeCell ref="G9:H9"/>
    <mergeCell ref="I9:J9"/>
  </mergeCells>
  <conditionalFormatting sqref="C17:D17 U17">
    <cfRule type="cellIs" priority="5" operator="lessThanOrEqual" dxfId="145">
      <formula>0.2</formula>
    </cfRule>
    <cfRule type="cellIs" priority="6" operator="greaterThan" dxfId="236">
      <formula>0.2</formula>
    </cfRule>
  </conditionalFormatting>
  <conditionalFormatting sqref="E17:T17">
    <cfRule type="cellIs" priority="1" operator="lessThan" dxfId="145">
      <formula>0.2</formula>
    </cfRule>
    <cfRule type="cellIs" priority="2" operator="greaterThan" dxfId="236">
      <formula>0.2</formula>
    </cfRule>
  </conditionalFormatting>
  <hyperlinks>
    <hyperlink ref="E24" location="COD!AE24" display="REAGENT"/>
    <hyperlink ref="M34" location="Main!A1" display="رجوع"/>
    <hyperlink ref="AJ35" location="COD!A24" display="BACK"/>
    <hyperlink ref="M81" location="ورقة1!J16" display="رجوع"/>
  </hyperlinks>
  <pageMargins left="0.748030402449694" right="0.748030402449694" top="0.984251968503937" bottom="0.984251968503937" header="0.511809930008749" footer="0.511809930008749"/>
  <pageSetup orientation="landscape" paperSize="9" scale="36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20">
    <outlinePr summaryBelow="1" summaryRight="1"/>
    <pageSetUpPr fitToPage="1"/>
  </sheetPr>
  <dimension ref="A1:T28"/>
  <sheetViews>
    <sheetView topLeftCell="A12" zoomScaleNormal="100" workbookViewId="0">
      <selection activeCell="H24" sqref="H24:I27"/>
    </sheetView>
  </sheetViews>
  <sheetFormatPr baseColWidth="8" defaultColWidth="9.109375" defaultRowHeight="13.2"/>
  <cols>
    <col width="52.109375" customWidth="1" style="534" min="1" max="1"/>
    <col width="9.109375" customWidth="1" style="534" min="2" max="2"/>
    <col width="18.33203125" customWidth="1" style="534" min="3" max="4"/>
    <col width="18.109375" customWidth="1" style="534" min="5" max="5"/>
    <col width="18.33203125" customWidth="1" style="534" min="6" max="7"/>
    <col width="18.109375" customWidth="1" style="534" min="8" max="8"/>
    <col width="9.109375" customWidth="1" style="534" min="9" max="11"/>
    <col width="9.33203125" bestFit="1" customWidth="1" style="534" min="12" max="12"/>
    <col width="39" bestFit="1" customWidth="1" style="534" min="13" max="13"/>
    <col width="23.33203125" bestFit="1" customWidth="1" style="534" min="14" max="14"/>
    <col width="18.44140625" customWidth="1" style="534" min="15" max="15"/>
    <col width="16.5546875" customWidth="1" style="534" min="16" max="16"/>
    <col width="23.6640625" customWidth="1" style="534" min="17" max="17"/>
    <col width="20.44140625" customWidth="1" style="534" min="18" max="18"/>
    <col width="16.33203125" bestFit="1" customWidth="1" style="534" min="19" max="19"/>
    <col width="10.44140625" bestFit="1" customWidth="1" style="534" min="20" max="20"/>
    <col width="9.109375" customWidth="1" style="534" min="21" max="22"/>
    <col width="9.109375" customWidth="1" style="534" min="23" max="16384"/>
  </cols>
  <sheetData>
    <row r="1" ht="17.4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P1" s="116" t="n"/>
    </row>
    <row r="2" ht="17.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P2" s="116" t="n"/>
    </row>
    <row r="3" ht="17.4" customHeight="1">
      <c r="A3" s="49" t="inlineStr">
        <is>
          <t>Holding Company</t>
        </is>
      </c>
      <c r="B3" s="49" t="n"/>
      <c r="C3" s="49" t="n"/>
      <c r="D3" s="49" t="n"/>
      <c r="E3" s="116" t="n"/>
      <c r="F3" s="116" t="n"/>
      <c r="G3" s="117" t="inlineStr">
        <is>
          <t xml:space="preserve">                        الشركة القابضة</t>
        </is>
      </c>
      <c r="H3" s="1" t="n"/>
      <c r="I3" s="1" t="n"/>
      <c r="J3" s="1" t="n"/>
      <c r="L3" s="9" t="n"/>
      <c r="M3" s="9" t="n"/>
      <c r="N3" s="9" t="n"/>
      <c r="P3" s="116" t="n"/>
    </row>
    <row r="4" ht="17.4" customHeight="1">
      <c r="A4" s="49" t="inlineStr">
        <is>
          <t>Fayoum drinking Water and Sanitation Company</t>
        </is>
      </c>
      <c r="B4" s="116" t="n"/>
      <c r="C4" s="116" t="n"/>
      <c r="D4" s="116" t="n"/>
      <c r="E4" s="116" t="n"/>
      <c r="F4" s="116" t="n"/>
      <c r="G4" s="117" t="inlineStr">
        <is>
          <t>شركة مياه الشرب والصرف الصحى بالفيوم</t>
        </is>
      </c>
      <c r="H4" s="1" t="n"/>
      <c r="J4" s="1" t="n"/>
      <c r="K4" s="1" t="n"/>
      <c r="L4" s="1" t="n"/>
      <c r="M4" s="1" t="n"/>
      <c r="N4" s="1" t="n"/>
    </row>
    <row r="5" ht="24.9" customHeight="1" thickBot="1">
      <c r="A5" s="191" t="n"/>
      <c r="B5" s="191" t="n"/>
      <c r="C5" s="191" t="n"/>
      <c r="D5" s="191" t="n"/>
      <c r="E5" s="191" t="n"/>
      <c r="F5" s="191" t="n"/>
      <c r="G5" s="192" t="inlineStr">
        <is>
          <t>قطاع المعامل - الادارة العامة لمعامل الصرف الصحى</t>
        </is>
      </c>
      <c r="H5" s="193" t="n"/>
      <c r="J5" s="194" t="n"/>
      <c r="K5" s="194" t="n"/>
      <c r="L5" s="194" t="n"/>
      <c r="M5" s="194" t="n"/>
      <c r="N5" s="194" t="n"/>
    </row>
    <row r="6" ht="24.9" customHeight="1">
      <c r="A6" s="664" t="inlineStr">
        <is>
          <t>SULFIDE (S2-) WORK SHEET</t>
        </is>
      </c>
      <c r="B6" s="650" t="n"/>
      <c r="C6" s="650" t="n"/>
      <c r="D6" s="657" t="inlineStr">
        <is>
          <t>Plant:  Tamiya</t>
        </is>
      </c>
      <c r="E6" s="658" t="n"/>
      <c r="F6" s="195" t="inlineStr">
        <is>
          <t xml:space="preserve">FORM ID:               </t>
        </is>
      </c>
      <c r="G6" s="663" t="n"/>
      <c r="H6" s="647" t="n"/>
    </row>
    <row r="7" ht="24.9" customHeight="1">
      <c r="A7" s="651" t="inlineStr">
        <is>
          <t>20th EDITION, of The Standard Method for the Examination of Water and Wastewater</t>
        </is>
      </c>
      <c r="B7" s="539" t="n"/>
      <c r="C7" s="539" t="n"/>
      <c r="D7" s="639" t="inlineStr">
        <is>
          <t>Lab ID:  WWL03</t>
        </is>
      </c>
      <c r="E7" s="640" t="n"/>
      <c r="F7" s="196" t="inlineStr">
        <is>
          <t>SAMPLE DATE:</t>
        </is>
      </c>
      <c r="G7" s="659">
        <f>Main!D11</f>
        <v/>
      </c>
      <c r="H7" s="569" t="n"/>
    </row>
    <row r="8" ht="24.9" customHeight="1" thickBot="1">
      <c r="A8" s="660" t="inlineStr">
        <is>
          <t xml:space="preserve"> PROCEDURE NUMBER 4500-S2-</t>
        </is>
      </c>
      <c r="B8" s="661" t="n"/>
      <c r="C8" s="661" t="n"/>
      <c r="D8" s="388">
        <f>COD!I8</f>
        <v/>
      </c>
      <c r="E8" s="198" t="n"/>
      <c r="F8" s="199" t="inlineStr">
        <is>
          <t xml:space="preserve">  ANALYSIS DATE:</t>
        </is>
      </c>
      <c r="G8" s="655">
        <f>Main!K11</f>
        <v/>
      </c>
      <c r="H8" s="656" t="n"/>
      <c r="M8" s="9" t="n"/>
      <c r="N8" s="9" t="n"/>
      <c r="O8" s="9" t="n"/>
      <c r="Q8" s="116" t="n"/>
    </row>
    <row r="9" ht="24.9" customHeight="1">
      <c r="A9" s="649" t="inlineStr">
        <is>
          <t xml:space="preserve"> (1) SAMPLE TYPE/ ID</t>
        </is>
      </c>
      <c r="B9" s="650" t="n"/>
      <c r="C9" s="200" t="inlineStr">
        <is>
          <t>Influent</t>
        </is>
      </c>
      <c r="D9" s="200" t="inlineStr">
        <is>
          <t>Effluent</t>
        </is>
      </c>
      <c r="E9" s="200" t="n"/>
      <c r="F9" s="200" t="n"/>
      <c r="G9" s="200" t="n"/>
      <c r="H9" s="200" t="n"/>
      <c r="M9" s="387" t="n"/>
      <c r="N9" s="9" t="n"/>
      <c r="O9" s="9" t="n"/>
      <c r="Q9" s="116" t="n"/>
    </row>
    <row r="10" ht="24.9" customHeight="1">
      <c r="A10" s="641" t="inlineStr">
        <is>
          <t xml:space="preserve"> (2) Iodine VOLUME, ml</t>
        </is>
      </c>
      <c r="B10" s="550" t="n"/>
      <c r="C10" s="88" t="n">
        <v>10</v>
      </c>
      <c r="D10" s="88" t="n">
        <v>10</v>
      </c>
      <c r="E10" s="88" t="n"/>
      <c r="F10" s="88" t="n"/>
      <c r="G10" s="88" t="n"/>
      <c r="H10" s="88" t="n"/>
      <c r="M10" s="9" t="n"/>
      <c r="N10" s="9" t="n"/>
      <c r="O10" s="9" t="n"/>
      <c r="Q10" s="116" t="n"/>
    </row>
    <row r="11" ht="24.9" customHeight="1">
      <c r="A11" s="653" t="inlineStr">
        <is>
          <t xml:space="preserve"> (3) SAMPLE VOLUME, ml</t>
        </is>
      </c>
      <c r="B11" s="550" t="n"/>
      <c r="C11" s="204" t="n">
        <v>200</v>
      </c>
      <c r="D11" s="204" t="n">
        <v>200</v>
      </c>
      <c r="E11" s="204" t="n"/>
      <c r="F11" s="204" t="n"/>
      <c r="G11" s="204" t="n"/>
      <c r="H11" s="204" t="n"/>
      <c r="M11" s="9" t="n"/>
      <c r="N11" s="9" t="n"/>
      <c r="O11" s="9" t="n"/>
      <c r="Q11" s="116" t="n"/>
    </row>
    <row r="12" ht="24.9" customHeight="1">
      <c r="A12" s="641" t="inlineStr">
        <is>
          <t xml:space="preserve"> (4) Sodium Thiosulphate VOLUME, ml</t>
        </is>
      </c>
      <c r="B12" s="550" t="n"/>
      <c r="C12" s="380" t="n"/>
      <c r="D12" s="380" t="n"/>
      <c r="E12" s="380" t="n"/>
      <c r="F12" s="380" t="n"/>
      <c r="G12" s="380" t="n"/>
      <c r="H12" s="380" t="n"/>
      <c r="M12" s="9" t="n"/>
      <c r="N12" s="9" t="n"/>
      <c r="O12" s="9" t="n"/>
      <c r="Q12" s="116" t="n"/>
    </row>
    <row r="13" ht="24.9" customHeight="1" thickBot="1">
      <c r="A13" s="648" t="inlineStr">
        <is>
          <t xml:space="preserve"> (5) Sodium Thiosulphate VOLUME, ml after correction</t>
        </is>
      </c>
      <c r="B13" s="550" t="n"/>
      <c r="C13" s="384">
        <f>IFERROR(HLOOKUP($C$17,Dispenser[#Data],MATCH(ROUND(C12,0),Dispenser[[Column1]:[Column1]],0),FALSE)+C12,"")</f>
        <v/>
      </c>
      <c r="D13" s="384">
        <f>IFERROR(HLOOKUP($C$17,Dispenser[#Data],MATCH(ROUND(D12,0),Dispenser[[Column1]:[Column1]],0),FALSE)+D12,"")</f>
        <v/>
      </c>
      <c r="E13" s="384">
        <f>IFERROR(HLOOKUP($C$17,Dispenser[#Data],MATCH(ROUND(E12,0),Dispenser[[Column1]:[Column1]],0),FALSE)+E12,"")</f>
        <v/>
      </c>
      <c r="F13" s="384">
        <f>IFERROR(HLOOKUP($C$17,Dispenser[#Data],MATCH(ROUND(F12,0),Dispenser[[Column1]:[Column1]],0),FALSE)+F12,"")</f>
        <v/>
      </c>
      <c r="G13" s="384">
        <f>IFERROR(HLOOKUP($C$17,Dispenser[#Data],MATCH(ROUND(G12,0),Dispenser[[Column1]:[Column1]],0),FALSE)+G12,"")</f>
        <v/>
      </c>
      <c r="H13" s="384">
        <f>IFERROR(HLOOKUP($C$17,Dispenser[#Data],MATCH(ROUND(H12,0),Dispenser[[Column1]:[Column1]],0),FALSE)+H12,"")</f>
        <v/>
      </c>
      <c r="M13" s="387" t="n"/>
      <c r="N13" s="9" t="n"/>
      <c r="O13" s="9" t="n"/>
      <c r="Q13" s="116" t="n"/>
    </row>
    <row r="14" ht="24.9" customHeight="1">
      <c r="A14" s="641" t="inlineStr">
        <is>
          <t xml:space="preserve"> (6) Sulfide S2- concentration</t>
        </is>
      </c>
      <c r="B14" s="550" t="n"/>
      <c r="C14" s="314">
        <f>IFERROR(IF(C10="","",(C10*$C$23-C13*$D$23)*16000/C11),"")</f>
        <v/>
      </c>
      <c r="D14" s="314">
        <f>IFERROR(IF(D10="","",(D10*$C$23-D13*$D$23)*16000/D11),"")</f>
        <v/>
      </c>
      <c r="E14" s="314">
        <f>IFERROR(IF(E10="","",(E10*$C$23-E13*$D$23)*16000/E11),"")</f>
        <v/>
      </c>
      <c r="F14" s="314">
        <f>IFERROR(IF(F10="","",(F10*$C$23-F13*$D$23)*16000/F11),"")</f>
        <v/>
      </c>
      <c r="G14" s="314">
        <f>IFERROR(IF(G10="","",(G10*$C$23-G13*$D$23)*16000/G11),"")</f>
        <v/>
      </c>
      <c r="H14" s="314">
        <f>IFERROR(IF(H10="","",(H10*$C$23-H13*$D$23)*16000/H11),"")</f>
        <v/>
      </c>
      <c r="M14" s="9" t="n"/>
      <c r="N14" s="9" t="n"/>
      <c r="O14" s="9" t="n"/>
      <c r="Q14" s="116" t="n"/>
    </row>
    <row r="15" ht="24.9" customFormat="1" customHeight="1" s="134">
      <c r="A15" s="534" t="n"/>
      <c r="B15" s="534" t="n"/>
      <c r="C15" s="773" t="n"/>
      <c r="D15" s="534" t="n"/>
      <c r="E15" s="534" t="n"/>
      <c r="F15" s="534" t="n"/>
      <c r="G15" s="534" t="n"/>
      <c r="H15" s="534" t="n"/>
      <c r="I15" s="534" t="n"/>
      <c r="J15" s="534" t="n"/>
      <c r="K15" s="534" t="n"/>
      <c r="L15" s="534" t="n"/>
      <c r="M15" s="9" t="n"/>
      <c r="N15" s="9" t="n"/>
      <c r="O15" s="9" t="n"/>
      <c r="P15" s="534" t="n"/>
      <c r="Q15" s="116" t="n"/>
      <c r="R15" s="534" t="n"/>
    </row>
    <row r="16" ht="24.9" customHeight="1">
      <c r="A16" s="643" t="inlineStr">
        <is>
          <t>Standardization</t>
        </is>
      </c>
      <c r="B16" s="597" t="n"/>
      <c r="D16" s="773" t="n"/>
    </row>
    <row r="17" ht="24.9" customHeight="1" thickBot="1">
      <c r="A17" s="643" t="inlineStr">
        <is>
          <t>Digital Burette</t>
        </is>
      </c>
      <c r="B17" s="597" t="n"/>
      <c r="C17" s="614" t="inlineStr">
        <is>
          <t>20G33740</t>
        </is>
      </c>
      <c r="I17" s="644" t="n"/>
      <c r="J17" s="534" t="n"/>
    </row>
    <row r="18" ht="24.9" customHeight="1" thickBot="1">
      <c r="A18" s="749" t="inlineStr">
        <is>
          <t>Trials</t>
        </is>
      </c>
      <c r="B18" s="647" t="n"/>
      <c r="C18" s="751" t="inlineStr">
        <is>
          <t>I2</t>
        </is>
      </c>
      <c r="D18" s="751" t="inlineStr">
        <is>
          <t>Na2S2O3</t>
        </is>
      </c>
      <c r="E18" s="749" t="inlineStr">
        <is>
          <t>Trials</t>
        </is>
      </c>
      <c r="F18" s="647" t="n"/>
      <c r="M18" s="614" t="inlineStr">
        <is>
          <t>Solution</t>
        </is>
      </c>
      <c r="N18" s="614" t="inlineStr">
        <is>
          <t>Na2S2O3.5H2O</t>
        </is>
      </c>
      <c r="O18" s="614" t="inlineStr">
        <is>
          <t>NaOH</t>
        </is>
      </c>
      <c r="P18" s="614" t="inlineStr">
        <is>
          <t>I2</t>
        </is>
      </c>
      <c r="Q18" s="614" t="inlineStr">
        <is>
          <t>KI</t>
        </is>
      </c>
      <c r="R18" s="614" t="inlineStr">
        <is>
          <t>D.Water</t>
        </is>
      </c>
      <c r="S18" s="614" t="inlineStr">
        <is>
          <t>KH(IO3)2</t>
        </is>
      </c>
      <c r="T18" s="614" t="inlineStr">
        <is>
          <t>HCl</t>
        </is>
      </c>
    </row>
    <row r="19" ht="24.9" customHeight="1">
      <c r="A19" s="646" t="inlineStr">
        <is>
          <t>Iodine Volume</t>
        </is>
      </c>
      <c r="B19" s="647" t="n"/>
      <c r="C19" s="385" t="inlineStr">
        <is>
          <t>10</t>
        </is>
      </c>
      <c r="D19" s="385" t="inlineStr">
        <is>
          <t>10</t>
        </is>
      </c>
      <c r="E19" s="662" t="inlineStr">
        <is>
          <t>KH(IO3)2</t>
        </is>
      </c>
      <c r="F19" s="647" t="n"/>
      <c r="M19" s="614" t="inlineStr">
        <is>
          <t>Sodium Thiosulfate  0.025 N</t>
        </is>
      </c>
      <c r="N19" s="614" t="inlineStr">
        <is>
          <t>6.205 g</t>
        </is>
      </c>
      <c r="O19" s="614" t="inlineStr">
        <is>
          <t>0.4 g</t>
        </is>
      </c>
      <c r="P19" s="614" t="n"/>
      <c r="Q19" s="614" t="n"/>
      <c r="R19" s="614" t="inlineStr">
        <is>
          <t>1000 ml</t>
        </is>
      </c>
      <c r="S19" s="614" t="n"/>
      <c r="T19" s="614" t="n"/>
    </row>
    <row r="20" ht="24.9" customHeight="1">
      <c r="A20" s="645" t="inlineStr">
        <is>
          <t>1st  trial with standardized Na2S2O3</t>
        </is>
      </c>
      <c r="B20" s="537" t="n"/>
      <c r="C20" s="379" t="inlineStr">
        <is>
          <t>10</t>
        </is>
      </c>
      <c r="D20" s="379" t="inlineStr">
        <is>
          <t>10</t>
        </is>
      </c>
      <c r="E20" s="645" t="inlineStr">
        <is>
          <t>1st  trial with  KH(IO3)2</t>
        </is>
      </c>
      <c r="F20" s="537" t="n"/>
      <c r="M20" s="614" t="inlineStr">
        <is>
          <t>KH(IO3)2  0.0021M</t>
        </is>
      </c>
      <c r="N20" s="614" t="n"/>
      <c r="O20" s="614" t="n"/>
      <c r="P20" s="614" t="n"/>
      <c r="Q20" s="614" t="n"/>
      <c r="R20" s="614" t="inlineStr">
        <is>
          <t>1000 ml</t>
        </is>
      </c>
      <c r="S20" s="614" t="inlineStr">
        <is>
          <t>0.812 g</t>
        </is>
      </c>
      <c r="T20" s="614" t="n"/>
    </row>
    <row r="21" ht="24.9" customHeight="1">
      <c r="A21" s="652" t="inlineStr">
        <is>
          <t>2nd  trial with standardized Na2S2O3</t>
        </is>
      </c>
      <c r="B21" s="537" t="n"/>
      <c r="C21" s="385" t="inlineStr">
        <is>
          <t>10</t>
        </is>
      </c>
      <c r="D21" s="385" t="inlineStr">
        <is>
          <t>10</t>
        </is>
      </c>
      <c r="E21" s="652" t="inlineStr">
        <is>
          <t>2nd  trial with KH(IO3)2</t>
        </is>
      </c>
      <c r="F21" s="537" t="n"/>
      <c r="M21" s="614" t="inlineStr">
        <is>
          <t>Iodine  0.025 N</t>
        </is>
      </c>
      <c r="N21" s="614" t="n"/>
      <c r="O21" s="614" t="n"/>
      <c r="P21" s="614" t="inlineStr">
        <is>
          <t>3.2 g</t>
        </is>
      </c>
      <c r="Q21" s="614" t="inlineStr">
        <is>
          <t>25 g</t>
        </is>
      </c>
      <c r="R21" s="614" t="inlineStr">
        <is>
          <t>1000 ml</t>
        </is>
      </c>
      <c r="S21" s="614" t="n"/>
      <c r="T21" s="614" t="n"/>
    </row>
    <row r="22" ht="24.9" customHeight="1">
      <c r="A22" s="645" t="inlineStr">
        <is>
          <t>3rd  trial with standardized Na2S2O3</t>
        </is>
      </c>
      <c r="B22" s="537" t="n"/>
      <c r="C22" s="379" t="inlineStr">
        <is>
          <t>10</t>
        </is>
      </c>
      <c r="D22" s="379" t="inlineStr">
        <is>
          <t>10</t>
        </is>
      </c>
      <c r="E22" s="645" t="inlineStr">
        <is>
          <t>3rd  trial with KH(IO3)2</t>
        </is>
      </c>
      <c r="F22" s="537" t="n"/>
      <c r="M22" s="614" t="inlineStr">
        <is>
          <t>HCL  6 N</t>
        </is>
      </c>
      <c r="N22" s="614" t="n"/>
      <c r="O22" s="614" t="n"/>
      <c r="P22" s="614" t="n"/>
      <c r="Q22" s="614" t="n"/>
      <c r="R22" s="614" t="inlineStr">
        <is>
          <t>1000 ml</t>
        </is>
      </c>
      <c r="S22" s="614" t="n"/>
      <c r="T22" s="614" t="inlineStr">
        <is>
          <t>500 ml</t>
        </is>
      </c>
    </row>
    <row r="23" ht="24.9" customHeight="1">
      <c r="A23" s="642" t="inlineStr">
        <is>
          <t>Iodine Normality</t>
        </is>
      </c>
      <c r="B23" s="550" t="n"/>
      <c r="C23" s="774">
        <f>IFERROR((AVERAGE(C20:C22)+HLOOKUP($C$17,Dispenser[],MATCH(ROUND(AVERAGE(C20:C22),0),Dispenser[Column1],0),FALSE))*(D23/C19),"")</f>
        <v/>
      </c>
      <c r="D23" s="774">
        <f>IFERROR((AVERAGE(D20:D22)+HLOOKUP($C$17,Dispenser[],MATCH(ROUND(AVERAGE(D20:D22),0),Dispenser[Column1],0),FALSE))*0.00025*D19,"")</f>
        <v/>
      </c>
      <c r="E23" s="654" t="inlineStr">
        <is>
          <t>Na2S2O3 Normality</t>
        </is>
      </c>
      <c r="F23" s="537" t="n"/>
    </row>
    <row r="24" ht="12.75" customHeight="1">
      <c r="H24" s="638" t="inlineStr">
        <is>
          <t>رجوع</t>
        </is>
      </c>
      <c r="I24" s="534" t="n"/>
    </row>
    <row r="25" ht="24.75" customHeight="1">
      <c r="A25" s="387" t="n"/>
      <c r="H25" s="534" t="n"/>
      <c r="I25" s="534" t="n"/>
    </row>
    <row r="26" ht="12.75" customHeight="1">
      <c r="H26" s="534" t="n"/>
      <c r="I26" s="534" t="n"/>
    </row>
    <row r="27" ht="12.75" customHeight="1">
      <c r="H27" s="534" t="n"/>
      <c r="I27" s="534" t="n"/>
    </row>
    <row r="28">
      <c r="G28" s="1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RzmziOIHFR8LU9T/n1Hm0g==" formatRows="1" sort="1" spinCount="100000" password="E5A6" hashValue="nOVH+VYujCtFv+L3Ytob1U75+sCsSQl9XAue4jwVlJxq3S+MW78VNNrGQCn6imy8M1VpRzo7lTCp7deu1KiBXA=="/>
  <mergeCells count="30">
    <mergeCell ref="A11:B11"/>
    <mergeCell ref="E23:F23"/>
    <mergeCell ref="G8:H8"/>
    <mergeCell ref="D6:E6"/>
    <mergeCell ref="E20:F20"/>
    <mergeCell ref="A16:B16"/>
    <mergeCell ref="G7:H7"/>
    <mergeCell ref="A8:C8"/>
    <mergeCell ref="E19:F19"/>
    <mergeCell ref="G6:H6"/>
    <mergeCell ref="A18:B18"/>
    <mergeCell ref="A12:B12"/>
    <mergeCell ref="A21:B21"/>
    <mergeCell ref="H24:I27"/>
    <mergeCell ref="D7:E7"/>
    <mergeCell ref="A14:B14"/>
    <mergeCell ref="A23:B23"/>
    <mergeCell ref="A17:B17"/>
    <mergeCell ref="I17:J17"/>
    <mergeCell ref="A22:B22"/>
    <mergeCell ref="A20:B20"/>
    <mergeCell ref="A19:B19"/>
    <mergeCell ref="A6:C6"/>
    <mergeCell ref="A10:B10"/>
    <mergeCell ref="A13:B13"/>
    <mergeCell ref="E22:F22"/>
    <mergeCell ref="A9:B9"/>
    <mergeCell ref="A7:C7"/>
    <mergeCell ref="E18:F18"/>
    <mergeCell ref="E21:F21"/>
  </mergeCells>
  <dataValidations count="2">
    <dataValidation sqref="C9:H9" showDropDown="0" showInputMessage="1" showErrorMessage="1" allowBlank="1" type="list">
      <formula1>"Influent,Effluent,Thickenner,Mix,RAS"</formula1>
    </dataValidation>
    <dataValidation sqref="C17" showDropDown="0" showInputMessage="1" showErrorMessage="1" allowBlank="1" type="list">
      <formula1>"50109103 , 20G33740"</formula1>
    </dataValidation>
  </dataValidations>
  <hyperlinks>
    <hyperlink ref="H24" location="Main!A1" display="رجوع"/>
  </hyperlinks>
  <pageMargins left="0.748030402449694" right="0.748030402449694" top="0.984251968503937" bottom="0.984251968503937" header="0.511809930008749" footer="0.511809930008749"/>
  <pageSetup orientation="landscape" paperSize="9" scale="77"/>
  <colBreaks count="1" manualBreakCount="1">
    <brk id="8" min="0" max="1048575" man="1"/>
  </colBreaks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P47"/>
  <sheetViews>
    <sheetView workbookViewId="0">
      <selection activeCell="N13" sqref="N13:O16"/>
    </sheetView>
  </sheetViews>
  <sheetFormatPr baseColWidth="8" defaultColWidth="9.109375" defaultRowHeight="13.2"/>
  <cols>
    <col width="9.109375" customWidth="1" style="534" min="1" max="6"/>
    <col width="14.109375" customWidth="1" style="534" min="7" max="7"/>
    <col width="9.109375" customWidth="1" style="534" min="8" max="12"/>
    <col width="10" bestFit="1" customWidth="1" style="534" min="13" max="13"/>
    <col width="9.109375" customWidth="1" style="534" min="14" max="15"/>
    <col width="9.109375" customWidth="1" style="534" min="16" max="16384"/>
  </cols>
  <sheetData>
    <row r="1" ht="12.75" customHeight="1"/>
    <row r="2" ht="12.75" customHeight="1">
      <c r="B2" s="665" t="inlineStr">
        <is>
          <t>Winkler</t>
        </is>
      </c>
      <c r="C2" s="534" t="n"/>
      <c r="D2" s="534" t="n"/>
      <c r="E2" s="534" t="n"/>
      <c r="F2" s="534" t="n"/>
      <c r="G2" s="534" t="n"/>
      <c r="J2" s="665" t="inlineStr">
        <is>
          <t>DO meter</t>
        </is>
      </c>
      <c r="K2" s="534" t="n"/>
      <c r="L2" s="534" t="n"/>
      <c r="M2" s="534" t="n"/>
      <c r="N2" s="534" t="n"/>
      <c r="O2" s="534" t="n"/>
      <c r="P2" s="102" t="inlineStr">
        <is>
          <t>%</t>
        </is>
      </c>
    </row>
    <row r="3" ht="12.75" customHeight="1">
      <c r="B3" s="534" t="n"/>
      <c r="C3" s="534" t="n"/>
      <c r="D3" s="534" t="n"/>
      <c r="E3" s="534" t="n"/>
      <c r="F3" s="534" t="n"/>
      <c r="G3" s="534" t="n"/>
      <c r="J3" s="534" t="n"/>
      <c r="K3" s="534" t="n"/>
      <c r="L3" s="534" t="n"/>
      <c r="M3" s="534" t="n"/>
      <c r="N3" s="534" t="n"/>
      <c r="O3" s="534" t="n"/>
      <c r="P3" s="103" t="n"/>
    </row>
    <row r="5">
      <c r="A5" s="19" t="inlineStr">
        <is>
          <t>الخروج</t>
        </is>
      </c>
      <c r="B5" s="104" t="inlineStr">
        <is>
          <t>DO</t>
        </is>
      </c>
      <c r="C5" s="2" t="n"/>
      <c r="E5" s="19" t="inlineStr">
        <is>
          <t>حوض1</t>
        </is>
      </c>
      <c r="F5" s="104" t="inlineStr">
        <is>
          <t>DO</t>
        </is>
      </c>
      <c r="G5" s="2" t="n"/>
      <c r="I5" s="19" t="inlineStr">
        <is>
          <t>الخروج</t>
        </is>
      </c>
      <c r="J5" s="104" t="inlineStr">
        <is>
          <t>DO</t>
        </is>
      </c>
      <c r="K5" s="74" t="n"/>
      <c r="M5" s="19" t="inlineStr">
        <is>
          <t>حوض1</t>
        </is>
      </c>
      <c r="N5" s="104" t="inlineStr">
        <is>
          <t>DO</t>
        </is>
      </c>
      <c r="O5" s="74" t="n"/>
    </row>
    <row r="6">
      <c r="A6" s="2" t="n"/>
      <c r="B6" s="2" t="n"/>
      <c r="C6" s="395">
        <f>(C5*Sulfide!D23*8000)/200</f>
        <v/>
      </c>
      <c r="E6" s="2" t="n"/>
      <c r="F6" s="2" t="n"/>
      <c r="G6" s="395">
        <f>(G5*Sulfide!D23*8000)/200</f>
        <v/>
      </c>
      <c r="I6" s="2" t="n"/>
      <c r="J6" s="2" t="n"/>
      <c r="K6" s="396">
        <f>IFERROR(IF(P3&gt;0,$K$5*$P$3,$K$5),"")</f>
        <v/>
      </c>
      <c r="M6" s="2" t="n"/>
      <c r="N6" s="19" t="n"/>
      <c r="O6" s="396">
        <f>IFERROR(IF($P$3&gt;0,$O$5*$P$3,$O$5),"")</f>
        <v/>
      </c>
    </row>
    <row r="7">
      <c r="A7" s="2" t="n"/>
      <c r="B7" s="2" t="n"/>
      <c r="C7" s="2" t="n"/>
      <c r="E7" s="2" t="n"/>
      <c r="F7" s="2" t="n"/>
      <c r="G7" s="2" t="n"/>
      <c r="I7" s="2" t="n"/>
      <c r="J7" s="2" t="n"/>
      <c r="K7" s="2" t="n"/>
      <c r="M7" s="2" t="n"/>
      <c r="N7" s="2" t="n"/>
      <c r="O7" s="74" t="n"/>
    </row>
    <row r="8">
      <c r="A8" s="19" t="n"/>
      <c r="B8" s="104" t="inlineStr">
        <is>
          <t>DO</t>
        </is>
      </c>
      <c r="C8" s="2" t="n"/>
      <c r="E8" s="19" t="inlineStr">
        <is>
          <t>حوض2</t>
        </is>
      </c>
      <c r="F8" s="104" t="inlineStr">
        <is>
          <t>DO</t>
        </is>
      </c>
      <c r="G8" s="2" t="n"/>
      <c r="I8" s="19" t="inlineStr">
        <is>
          <t>المجمع</t>
        </is>
      </c>
      <c r="J8" s="104" t="inlineStr">
        <is>
          <t>DO</t>
        </is>
      </c>
      <c r="K8" s="74" t="n"/>
      <c r="M8" s="19" t="inlineStr">
        <is>
          <t>حوض2</t>
        </is>
      </c>
      <c r="N8" s="104" t="inlineStr">
        <is>
          <t>DO</t>
        </is>
      </c>
      <c r="O8" s="74" t="n"/>
    </row>
    <row r="9">
      <c r="A9" s="2" t="n"/>
      <c r="B9" s="2" t="n"/>
      <c r="C9" s="395">
        <f>(C8*Sulfide!D23*8000)/200</f>
        <v/>
      </c>
      <c r="E9" s="2" t="n"/>
      <c r="F9" s="2" t="n"/>
      <c r="G9" s="395">
        <f>(G8*Sulfide!D23*8000)/200</f>
        <v/>
      </c>
      <c r="I9" s="2" t="n"/>
      <c r="J9" s="2" t="n"/>
      <c r="K9" s="396">
        <f>IFERROR(IF($P$3&gt;0,$K$8*$P$3,$K$8),"")</f>
        <v/>
      </c>
      <c r="M9" s="2" t="n"/>
      <c r="N9" s="2" t="n"/>
      <c r="O9" s="396">
        <f>IFERROR(IF($P$3&gt;0,$O$8*$P$3,$O$8),"")</f>
        <v/>
      </c>
    </row>
    <row r="12">
      <c r="B12" s="19" t="inlineStr">
        <is>
          <t>الخروج</t>
        </is>
      </c>
      <c r="C12" s="104" t="inlineStr">
        <is>
          <t>DO</t>
        </is>
      </c>
    </row>
    <row r="13">
      <c r="B13" s="2" t="n"/>
      <c r="C13" s="2" t="n"/>
      <c r="D13" s="105">
        <f>IFERROR(IF($K$5&lt;=0,$C$6,$K$6),"")</f>
        <v/>
      </c>
      <c r="N13" s="667" t="inlineStr">
        <is>
          <t>رجوع</t>
        </is>
      </c>
      <c r="O13" s="582" t="n"/>
    </row>
    <row r="14">
      <c r="B14" s="2" t="n"/>
      <c r="C14" s="2" t="n"/>
      <c r="D14" s="775" t="n"/>
      <c r="N14" s="582" t="n"/>
      <c r="O14" s="582" t="n"/>
    </row>
    <row r="15">
      <c r="B15" s="19" t="inlineStr">
        <is>
          <t>المجمع</t>
        </is>
      </c>
      <c r="C15" s="104" t="inlineStr">
        <is>
          <t>DO</t>
        </is>
      </c>
      <c r="D15" s="775" t="n"/>
      <c r="N15" s="582" t="n"/>
      <c r="O15" s="582" t="n"/>
    </row>
    <row r="16">
      <c r="B16" s="2" t="n"/>
      <c r="C16" s="2" t="n"/>
      <c r="D16" s="105">
        <f>IFERROR(IF($K$8&lt;=0,$C$9,$K$9),"")</f>
        <v/>
      </c>
      <c r="N16" s="582" t="n"/>
      <c r="O16" s="582" t="n"/>
    </row>
    <row r="19">
      <c r="F19" s="582" t="n"/>
      <c r="J19" s="106" t="n"/>
    </row>
    <row r="26" ht="13.8" customHeight="1">
      <c r="F26" s="393" t="inlineStr">
        <is>
          <t>SV30</t>
        </is>
      </c>
      <c r="G26" s="393" t="inlineStr">
        <is>
          <t>Correction</t>
        </is>
      </c>
    </row>
    <row r="27" ht="13.8" customHeight="1">
      <c r="F27" s="394">
        <f>G27*0.78</f>
        <v/>
      </c>
      <c r="G27" s="291" t="n"/>
    </row>
    <row r="39" ht="24" customHeight="1">
      <c r="B39" s="668" t="inlineStr">
        <is>
          <t>Specific Oxygen Uptake Rate</t>
        </is>
      </c>
      <c r="C39" s="534" t="n"/>
      <c r="D39" s="534" t="n"/>
      <c r="E39" s="534" t="n"/>
      <c r="F39" s="534" t="n"/>
      <c r="G39" s="534" t="n"/>
      <c r="H39" s="534" t="n"/>
      <c r="I39" s="534" t="n"/>
    </row>
    <row r="40" ht="26.25" customHeight="1">
      <c r="B40" s="534" t="n"/>
      <c r="C40" s="534" t="n"/>
      <c r="D40" s="534" t="n"/>
      <c r="E40" s="534" t="n"/>
      <c r="F40" s="534" t="n"/>
      <c r="G40" s="534" t="n"/>
      <c r="H40" s="534" t="n"/>
      <c r="I40" s="534" t="n"/>
    </row>
    <row r="41" ht="13.8" customHeight="1" thickBot="1"/>
    <row r="42" ht="18" customHeight="1" thickBot="1">
      <c r="C42" s="319" t="inlineStr">
        <is>
          <t>DO1</t>
        </is>
      </c>
      <c r="D42" s="375" t="n"/>
      <c r="E42" s="318" t="n"/>
      <c r="F42" s="319" t="inlineStr">
        <is>
          <t>DO2</t>
        </is>
      </c>
      <c r="G42" s="375" t="n"/>
    </row>
    <row r="43" ht="13.8" customHeight="1" thickBot="1"/>
    <row r="44" ht="18" customHeight="1" thickBot="1">
      <c r="C44" s="319" t="inlineStr">
        <is>
          <t>Time</t>
        </is>
      </c>
      <c r="D44" s="374" t="n">
        <v>15</v>
      </c>
    </row>
    <row r="46" ht="13.8" customHeight="1" thickBot="1"/>
    <row r="47" ht="27" customHeight="1" thickBot="1">
      <c r="C47" s="319" t="inlineStr">
        <is>
          <t>SOUR</t>
        </is>
      </c>
      <c r="D47" s="371">
        <f>IFERROR(($D$42-$G$42)*60/($D$44*('TS &amp; VS'!$G$21/1000)),"")</f>
        <v/>
      </c>
      <c r="E47" s="666">
        <f>CONCATENATE("𝑚𝑔𝑂",_xlfn.UNICHAR(8322)," ⁄𝑔𝑀𝐿𝑉𝑆𝑆  ⁄ ℎ𝑜𝑢𝑟")</f>
        <v/>
      </c>
      <c r="F47" s="582" t="n"/>
      <c r="G47" s="582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0" saltValue="14BnSvC1JMOaz3a19OqRBw==" formatRows="0" sort="1" spinCount="100000" hashValue="/irScAOoeyDr5BSnhq7Cez0sv5W043B2jAvByKSypEAAy3/rw117fnL+b9MNXCNFNvWw51xctWq2Q9jfpQXxkw=="/>
  <mergeCells count="5">
    <mergeCell ref="B2:G3"/>
    <mergeCell ref="J2:O3"/>
    <mergeCell ref="E47:G47"/>
    <mergeCell ref="N13:O16"/>
    <mergeCell ref="B39:I40"/>
  </mergeCells>
  <hyperlinks>
    <hyperlink ref="N13" location="Main!A1" display="رجوع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3:AC19"/>
  <sheetViews>
    <sheetView zoomScaleNormal="100" workbookViewId="0">
      <selection activeCell="N13" sqref="N13:O16"/>
    </sheetView>
  </sheetViews>
  <sheetFormatPr baseColWidth="8" defaultColWidth="9.109375" defaultRowHeight="13.2"/>
  <cols>
    <col width="9.109375" customWidth="1" style="534" min="1" max="1"/>
    <col width="20.88671875" customWidth="1" style="534" min="2" max="2"/>
    <col width="23.5546875" customWidth="1" style="534" min="3" max="3"/>
    <col width="25.44140625" customWidth="1" style="534" min="4" max="4"/>
    <col width="9.5546875" bestFit="1" customWidth="1" style="534" min="5" max="5"/>
    <col width="9.109375" customWidth="1" style="534" min="6" max="19"/>
    <col width="9.33203125" bestFit="1" customWidth="1" style="534" min="20" max="20"/>
    <col width="16.5546875" bestFit="1" customWidth="1" style="534" min="21" max="21"/>
    <col width="17.109375" bestFit="1" customWidth="1" style="534" min="22" max="22"/>
    <col width="16.88671875" bestFit="1" customWidth="1" style="534" min="23" max="23"/>
    <col width="25.5546875" bestFit="1" customWidth="1" style="534" min="24" max="24"/>
    <col width="16.5546875" bestFit="1" customWidth="1" style="534" min="25" max="25"/>
    <col width="16.33203125" bestFit="1" customWidth="1" style="534" min="26" max="26"/>
    <col width="21.88671875" bestFit="1" customWidth="1" style="534" min="27" max="27"/>
    <col width="17.6640625" bestFit="1" customWidth="1" style="534" min="28" max="28"/>
    <col width="17.33203125" bestFit="1" customWidth="1" style="534" min="29" max="29"/>
    <col width="9.109375" customWidth="1" style="534" min="30" max="31"/>
    <col width="9.109375" customWidth="1" style="534" min="32" max="16384"/>
  </cols>
  <sheetData>
    <row r="1" ht="12.75" customHeight="1"/>
    <row r="2" ht="12.75" customHeight="1"/>
    <row r="3" ht="12.75" customHeight="1">
      <c r="A3" s="367" t="n"/>
      <c r="B3" s="367" t="n"/>
      <c r="C3" s="367" t="n"/>
      <c r="D3" s="367" t="n"/>
    </row>
    <row r="4">
      <c r="A4" s="107" t="inlineStr">
        <is>
          <t>No</t>
        </is>
      </c>
      <c r="B4" s="107" t="inlineStr">
        <is>
          <t>Crucible W1</t>
        </is>
      </c>
      <c r="C4" s="107" t="inlineStr">
        <is>
          <t>Sludge + Crucible W2</t>
        </is>
      </c>
      <c r="D4" s="107" t="inlineStr">
        <is>
          <t>Dry + crucible W3</t>
        </is>
      </c>
      <c r="E4" s="108" t="inlineStr">
        <is>
          <t>DC %</t>
        </is>
      </c>
      <c r="F4" s="108" t="inlineStr">
        <is>
          <t>WC %</t>
        </is>
      </c>
    </row>
    <row r="5" ht="13.8" customHeight="1" thickBot="1">
      <c r="A5" s="369">
        <f>IFERROR(IF(ISBLANK(T6),"",T6),"")</f>
        <v/>
      </c>
      <c r="B5" s="776">
        <f>IFERROR(IF(W6=0,"",W6),"")</f>
        <v/>
      </c>
      <c r="C5" s="776">
        <f>IFERROR(IF(Z6=0,"",Z6),"")</f>
        <v/>
      </c>
      <c r="D5" s="776">
        <f>IFERROR(IF(AC6=0,"",AC6),"")</f>
        <v/>
      </c>
      <c r="E5" s="758">
        <f>IFERROR(IF(OR(B5&lt;1,C5&lt;1,D5&lt;1),"",((D5-B5)/(C5-B5)*100)),"")</f>
        <v/>
      </c>
      <c r="F5" s="758">
        <f>IFERROR(IF(E5&lt;1,"",100-E5),"")</f>
        <v/>
      </c>
      <c r="T5" s="348" t="inlineStr">
        <is>
          <t>S.N.</t>
        </is>
      </c>
      <c r="U5" s="349" t="inlineStr">
        <is>
          <t>Crucible W1</t>
        </is>
      </c>
      <c r="V5" s="349" t="inlineStr">
        <is>
          <t>Correcttion 1</t>
        </is>
      </c>
      <c r="W5" s="350" t="inlineStr">
        <is>
          <t>Net weight 1</t>
        </is>
      </c>
      <c r="X5" s="349" t="inlineStr">
        <is>
          <t>Sludge + Crucible W2</t>
        </is>
      </c>
      <c r="Y5" s="349" t="inlineStr">
        <is>
          <t>Correcttion2</t>
        </is>
      </c>
      <c r="Z5" s="349" t="inlineStr">
        <is>
          <t>Net weight2</t>
        </is>
      </c>
      <c r="AA5" s="349" t="inlineStr">
        <is>
          <t>Dry + crucible W3</t>
        </is>
      </c>
      <c r="AB5" s="349" t="inlineStr">
        <is>
          <t>Correcttion23</t>
        </is>
      </c>
      <c r="AC5" s="349" t="inlineStr">
        <is>
          <t>Net weight24</t>
        </is>
      </c>
    </row>
    <row r="6" ht="13.8" customHeight="1" thickTop="1">
      <c r="A6" s="582" t="n"/>
      <c r="B6" s="582" t="n"/>
      <c r="C6" s="369" t="n"/>
      <c r="D6" s="369" t="n"/>
      <c r="E6" s="758">
        <f>IFERROR(IF(OR(D5&lt;1,D6&lt;1),"",((D6-B5)/(D5-B5)*100)),"")</f>
        <v/>
      </c>
      <c r="F6" s="758">
        <f>IFERROR(IF(E6&lt;1,"",100-E6),"")</f>
        <v/>
      </c>
      <c r="T6" s="351" t="n"/>
      <c r="U6" s="352" t="n"/>
      <c r="V6" s="353">
        <f>_xlfn.IFNA(VLOOKUP(ROUND(Table1115[[#This Row],[Crucible W1]],0),Radwag[],3),"")</f>
        <v/>
      </c>
      <c r="W6" s="777">
        <f>IFERROR(Table1115[[#This Row],[Crucible W1]]+Table1115[[#This Row],[Correcttion 1]],"")</f>
        <v/>
      </c>
      <c r="X6" s="352" t="n"/>
      <c r="Y6" s="353">
        <f>_xlfn.IFNA(VLOOKUP(ROUND(Table1115[[#This Row],[Sludge + Crucible W2]],0),Radwag[],3),"")</f>
        <v/>
      </c>
      <c r="Z6" s="777">
        <f>IFERROR(Table1115[[#This Row],[Sludge + Crucible W2]]+Table1115[[#This Row],[Correcttion2]],"")</f>
        <v/>
      </c>
      <c r="AA6" s="352" t="n"/>
      <c r="AB6" s="353">
        <f>_xlfn.IFNA(VLOOKUP(ROUND(Table1115[[#This Row],[Dry + crucible W3]],0),Radwag[],3),"")</f>
        <v/>
      </c>
      <c r="AC6" s="777">
        <f>IFERROR(Table1115[[#This Row],[Dry + crucible W3]]+Table1115[[#This Row],[Correcttion23]],"")</f>
        <v/>
      </c>
    </row>
    <row r="7">
      <c r="E7" s="108" t="inlineStr">
        <is>
          <t>F</t>
        </is>
      </c>
      <c r="F7" s="108" t="inlineStr">
        <is>
          <t>V</t>
        </is>
      </c>
      <c r="T7" s="354" t="n"/>
      <c r="U7" s="355" t="n"/>
      <c r="V7" s="353">
        <f>_xlfn.IFNA(VLOOKUP(ROUND(Table1115[[#This Row],[Crucible W1]],0),Radwag[],3),"")</f>
        <v/>
      </c>
      <c r="W7" s="777">
        <f>IFERROR(Table1115[[#This Row],[Crucible W1]]+Table1115[[#This Row],[Correcttion 1]],"")</f>
        <v/>
      </c>
      <c r="X7" s="355" t="n"/>
      <c r="Y7" s="353">
        <f>_xlfn.IFNA(VLOOKUP(ROUND(Table1115[[#This Row],[Sludge + Crucible W2]],0),Radwag[],3),"")</f>
        <v/>
      </c>
      <c r="Z7" s="777">
        <f>IFERROR(Table1115[[#This Row],[Sludge + Crucible W2]]+Table1115[[#This Row],[Correcttion2]],"")</f>
        <v/>
      </c>
      <c r="AA7" s="355" t="n"/>
      <c r="AB7" s="353">
        <f>_xlfn.IFNA(VLOOKUP(ROUND(Table1115[[#This Row],[Dry + crucible W3]],0),Radwag[],3),"")</f>
        <v/>
      </c>
      <c r="AC7" s="777">
        <f>IFERROR(Table1115[[#This Row],[Dry + crucible W3]]+Table1115[[#This Row],[Correcttion23]],"")</f>
        <v/>
      </c>
    </row>
    <row r="8">
      <c r="T8" s="351" t="n"/>
      <c r="U8" s="352" t="n"/>
      <c r="V8" s="353">
        <f>_xlfn.IFNA(VLOOKUP(ROUND(Table1115[[#This Row],[Crucible W1]],0),Radwag[],3),"")</f>
        <v/>
      </c>
      <c r="W8" s="777">
        <f>IFERROR(Table1115[[#This Row],[Crucible W1]]+Table1115[[#This Row],[Correcttion 1]],"")</f>
        <v/>
      </c>
      <c r="X8" s="352" t="n"/>
      <c r="Y8" s="353">
        <f>_xlfn.IFNA(VLOOKUP(ROUND(Table1115[[#This Row],[Sludge + Crucible W2]],0),Radwag[],3),"")</f>
        <v/>
      </c>
      <c r="Z8" s="777">
        <f>IFERROR(Table1115[[#This Row],[Sludge + Crucible W2]]+Table1115[[#This Row],[Correcttion2]],"")</f>
        <v/>
      </c>
      <c r="AA8" s="352" t="n"/>
      <c r="AB8" s="353">
        <f>_xlfn.IFNA(VLOOKUP(ROUND(Table1115[[#This Row],[Dry + crucible W3]],0),Radwag[],3),"")</f>
        <v/>
      </c>
      <c r="AC8" s="777">
        <f>IFERROR(Table1115[[#This Row],[Dry + crucible W3]]+Table1115[[#This Row],[Correcttion23]],"")</f>
        <v/>
      </c>
    </row>
    <row r="9">
      <c r="T9" s="359" t="n"/>
      <c r="U9" s="360" t="n"/>
      <c r="V9" s="353">
        <f>_xlfn.IFNA(VLOOKUP(ROUND(Table1115[[#This Row],[Crucible W1]],0),Radwag[],3),"")</f>
        <v/>
      </c>
      <c r="W9" s="777">
        <f>IFERROR(Table1115[[#This Row],[Crucible W1]]+Table1115[[#This Row],[Correcttion 1]],"")</f>
        <v/>
      </c>
      <c r="X9" s="360" t="n"/>
      <c r="Y9" s="353">
        <f>_xlfn.IFNA(VLOOKUP(ROUND(Table1115[[#This Row],[Sludge + Crucible W2]],0),Radwag[],3),"")</f>
        <v/>
      </c>
      <c r="Z9" s="777">
        <f>IFERROR(Table1115[[#This Row],[Sludge + Crucible W2]]+Table1115[[#This Row],[Correcttion2]],"")</f>
        <v/>
      </c>
      <c r="AA9" s="360" t="n"/>
      <c r="AB9" s="353">
        <f>_xlfn.IFNA(VLOOKUP(ROUND(Table1115[[#This Row],[Dry + crucible W3]],0),Radwag[],3),"")</f>
        <v/>
      </c>
      <c r="AC9" s="777">
        <f>IFERROR(Table1115[[#This Row],[Dry + crucible W3]]+Table1115[[#This Row],[Correcttion23]],"")</f>
        <v/>
      </c>
    </row>
    <row r="10">
      <c r="U10" s="299" t="n"/>
      <c r="V10" s="353">
        <f>_xlfn.IFNA(VLOOKUP(ROUND(Table1115[[#This Row],[Crucible W1]],0),Radwag[],3),"")</f>
        <v/>
      </c>
      <c r="W10" s="777">
        <f>IFERROR(Table1115[[#This Row],[Crucible W1]]+Table1115[[#This Row],[Correcttion 1]],"")</f>
        <v/>
      </c>
      <c r="X10" s="299" t="n"/>
      <c r="Y10" s="353">
        <f>_xlfn.IFNA(VLOOKUP(ROUND(Table1115[[#This Row],[Sludge + Crucible W2]],0),Radwag[],3),"")</f>
        <v/>
      </c>
      <c r="Z10" s="777">
        <f>IFERROR(Table1115[[#This Row],[Sludge + Crucible W2]]+Table1115[[#This Row],[Correcttion2]],"")</f>
        <v/>
      </c>
      <c r="AA10" s="299" t="n"/>
      <c r="AB10" s="353">
        <f>_xlfn.IFNA(VLOOKUP(ROUND(Table1115[[#This Row],[Dry + crucible W3]],0),Radwag[],3),"")</f>
        <v/>
      </c>
      <c r="AC10" s="777">
        <f>IFERROR(Table1115[[#This Row],[Dry + crucible W3]]+Table1115[[#This Row],[Correcttion23]],"")</f>
        <v/>
      </c>
    </row>
    <row r="11">
      <c r="U11" s="299" t="n"/>
      <c r="V11" s="353">
        <f>_xlfn.IFNA(VLOOKUP(ROUND(Table1115[[#This Row],[Crucible W1]],0),Radwag[],3),"")</f>
        <v/>
      </c>
      <c r="W11" s="777">
        <f>IFERROR(Table1115[[#This Row],[Crucible W1]]+Table1115[[#This Row],[Correcttion 1]],"")</f>
        <v/>
      </c>
      <c r="X11" s="299" t="n"/>
      <c r="Y11" s="353">
        <f>_xlfn.IFNA(VLOOKUP(ROUND(Table1115[[#This Row],[Sludge + Crucible W2]],0),Radwag[],3),"")</f>
        <v/>
      </c>
      <c r="Z11" s="777">
        <f>IFERROR(Table1115[[#This Row],[Sludge + Crucible W2]]+Table1115[[#This Row],[Correcttion2]],"")</f>
        <v/>
      </c>
      <c r="AA11" s="299" t="n"/>
      <c r="AB11" s="353">
        <f>_xlfn.IFNA(VLOOKUP(ROUND(Table1115[[#This Row],[Dry + crucible W3]],0),Radwag[],3),"")</f>
        <v/>
      </c>
      <c r="AC11" s="777">
        <f>IFERROR(Table1115[[#This Row],[Dry + crucible W3]]+Table1115[[#This Row],[Correcttion23]],"")</f>
        <v/>
      </c>
    </row>
    <row r="12">
      <c r="B12" s="19" t="n"/>
      <c r="U12" s="300" t="n"/>
      <c r="V12" s="353">
        <f>_xlfn.IFNA(VLOOKUP(ROUND(Table1115[[#This Row],[Crucible W1]],0),Radwag[],3),"")</f>
        <v/>
      </c>
      <c r="W12" s="777">
        <f>IFERROR(Table1115[[#This Row],[Crucible W1]]+Table1115[[#This Row],[Correcttion 1]],"")</f>
        <v/>
      </c>
      <c r="X12" s="300" t="n"/>
      <c r="Y12" s="353">
        <f>_xlfn.IFNA(VLOOKUP(ROUND(Table1115[[#This Row],[Sludge + Crucible W2]],0),Radwag[],3),"")</f>
        <v/>
      </c>
      <c r="Z12" s="777">
        <f>IFERROR(Table1115[[#This Row],[Sludge + Crucible W2]]+Table1115[[#This Row],[Correcttion2]],"")</f>
        <v/>
      </c>
      <c r="AA12" s="300" t="n"/>
      <c r="AB12" s="353">
        <f>_xlfn.IFNA(VLOOKUP(ROUND(Table1115[[#This Row],[Dry + crucible W3]],0),Radwag[],3),"")</f>
        <v/>
      </c>
      <c r="AC12" s="777">
        <f>IFERROR(Table1115[[#This Row],[Dry + crucible W3]]+Table1115[[#This Row],[Correcttion23]],"")</f>
        <v/>
      </c>
    </row>
    <row r="13">
      <c r="B13" s="19" t="n"/>
      <c r="N13" s="667" t="inlineStr">
        <is>
          <t>رجوع</t>
        </is>
      </c>
      <c r="O13" s="582" t="n"/>
    </row>
    <row r="14">
      <c r="B14" s="19" t="n"/>
      <c r="H14" s="775">
        <f>E5</f>
        <v/>
      </c>
      <c r="N14" s="582" t="n"/>
      <c r="O14" s="582" t="n"/>
    </row>
    <row r="15">
      <c r="B15" s="19" t="n"/>
      <c r="N15" s="582" t="n"/>
      <c r="O15" s="582" t="n"/>
    </row>
    <row r="16">
      <c r="B16" s="19" t="n"/>
      <c r="N16" s="582" t="n"/>
      <c r="O16" s="582" t="n"/>
    </row>
    <row r="19">
      <c r="F19" s="582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0" saltValue="0TYaZkz46HP9KkokBBFiBQ==" formatRows="0" sort="1" spinCount="100000" hashValue="OjhjQLgUTlh+0SKa8+5jO0RyDpJYNC0RzOaCcOaNuUaT3Fuo2m8CiI0TO+MDnUEquSAZ/XbUa/7Hiy9hVpAB4A=="/>
  <mergeCells count="1">
    <mergeCell ref="N13:O16"/>
  </mergeCells>
  <hyperlinks>
    <hyperlink ref="N13" location="Main!A1" display="رجوع"/>
  </hyperlinks>
  <pageMargins left="0.748030402449694" right="0.748030402449694" top="0.984251968503937" bottom="0.984251968503937" header="0.511809930008749" footer="0.511809930008749"/>
  <pageSetup orientation="landscape" paperSize="9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Sheet6">
    <outlinePr summaryBelow="1" summaryRight="1"/>
    <pageSetUpPr fitToPage="1"/>
  </sheetPr>
  <dimension ref="A1:AK31"/>
  <sheetViews>
    <sheetView zoomScaleNormal="100" workbookViewId="0">
      <selection activeCell="T13" sqref="T13:U16"/>
    </sheetView>
  </sheetViews>
  <sheetFormatPr baseColWidth="8" defaultColWidth="9.109375" defaultRowHeight="13.2"/>
  <cols>
    <col width="9.109375" customWidth="1" style="582" min="1" max="2"/>
    <col width="9.109375" customWidth="1" style="582" min="3" max="16384"/>
  </cols>
  <sheetData>
    <row r="1" ht="21" customHeight="1">
      <c r="A1" s="109" t="n"/>
      <c r="B1" s="109" t="n"/>
      <c r="C1" s="109" t="n"/>
      <c r="D1" s="109" t="n"/>
      <c r="E1" s="109" t="n"/>
      <c r="F1" s="109" t="n"/>
      <c r="G1" s="109" t="n"/>
      <c r="H1" s="109" t="n"/>
      <c r="I1" s="110" t="n"/>
      <c r="J1" s="671" t="inlineStr">
        <is>
          <t>الشركة القابضة لمياة الشرب و الصرف الصحى</t>
        </is>
      </c>
      <c r="K1" s="582" t="n"/>
      <c r="L1" s="582" t="n"/>
      <c r="M1" s="582" t="n"/>
      <c r="N1" s="582" t="n"/>
      <c r="O1" s="582" t="n"/>
      <c r="P1" s="582" t="n"/>
      <c r="Q1" s="110" t="n"/>
    </row>
    <row r="2" ht="21" customHeight="1">
      <c r="A2" s="109" t="n"/>
      <c r="B2" s="109" t="n"/>
      <c r="C2" s="109" t="n"/>
      <c r="D2" s="109" t="n"/>
      <c r="E2" s="109" t="n"/>
      <c r="F2" s="109" t="n"/>
      <c r="G2" s="109" t="n"/>
      <c r="H2" s="109" t="n"/>
      <c r="I2" s="671" t="inlineStr">
        <is>
          <t>قطاع المعامل</t>
        </is>
      </c>
      <c r="J2" s="582" t="n"/>
      <c r="K2" s="582" t="n"/>
      <c r="L2" s="582" t="n"/>
      <c r="M2" s="582" t="n"/>
      <c r="N2" s="582" t="n"/>
      <c r="O2" s="582" t="n"/>
      <c r="P2" s="582" t="n"/>
      <c r="Q2" s="110" t="n"/>
    </row>
    <row r="3" ht="21" customHeight="1">
      <c r="A3" s="109" t="n"/>
      <c r="B3" s="109" t="n"/>
      <c r="C3" s="109" t="n"/>
      <c r="D3" s="109" t="n"/>
      <c r="E3" s="109" t="n"/>
      <c r="F3" s="109" t="n"/>
      <c r="G3" s="109" t="n"/>
      <c r="H3" s="109" t="n"/>
      <c r="I3" s="110" t="n"/>
      <c r="J3" s="671" t="inlineStr">
        <is>
          <t>الأدارة العامة لمعامل الصرف الصحى</t>
        </is>
      </c>
      <c r="K3" s="582" t="n"/>
      <c r="L3" s="582" t="n"/>
      <c r="M3" s="582" t="n"/>
      <c r="N3" s="582" t="n"/>
      <c r="O3" s="582" t="n"/>
      <c r="P3" s="582" t="n"/>
      <c r="Q3" s="110" t="n"/>
    </row>
    <row r="4" ht="21.6" customHeight="1" thickBot="1">
      <c r="A4" s="109" t="n"/>
      <c r="B4" s="109" t="n"/>
      <c r="C4" s="109" t="n"/>
      <c r="D4" s="109" t="n"/>
      <c r="E4" s="109" t="n"/>
      <c r="F4" s="109" t="n"/>
      <c r="G4" s="109" t="n"/>
      <c r="H4" s="109" t="n"/>
      <c r="I4" s="109" t="n"/>
      <c r="J4" s="671">
        <f>Main!J7</f>
        <v/>
      </c>
      <c r="K4" s="582" t="n"/>
      <c r="L4" s="582" t="n"/>
      <c r="M4" s="582" t="n"/>
      <c r="N4" s="582" t="n"/>
      <c r="O4" s="582" t="n"/>
      <c r="P4" s="582" t="n"/>
      <c r="Q4" s="109" t="n"/>
    </row>
    <row r="5" ht="21.6" customFormat="1" customHeight="1" s="112" thickBot="1">
      <c r="A5" s="673" t="inlineStr">
        <is>
          <t xml:space="preserve"> Removal efficiency</t>
        </is>
      </c>
      <c r="B5" s="674" t="n"/>
      <c r="C5" s="674" t="n"/>
      <c r="D5" s="674" t="n"/>
      <c r="E5" s="674" t="n"/>
      <c r="F5" s="674" t="n"/>
      <c r="G5" s="674" t="n"/>
      <c r="H5" s="674" t="n"/>
      <c r="I5" s="674" t="n"/>
      <c r="J5" s="674" t="n"/>
      <c r="K5" s="674" t="n"/>
      <c r="L5" s="674" t="n"/>
      <c r="M5" s="674" t="n"/>
      <c r="N5" s="674" t="n"/>
      <c r="O5" s="674" t="n"/>
      <c r="P5" s="675" t="n"/>
      <c r="Q5" s="111" t="n"/>
    </row>
    <row r="6" ht="20.4" customHeight="1">
      <c r="A6" s="113">
        <f>Main!$H$11</f>
        <v/>
      </c>
      <c r="B6" s="114" t="n"/>
      <c r="C6" s="114" t="n"/>
      <c r="D6" s="670">
        <f>Main!$D$11</f>
        <v/>
      </c>
      <c r="E6" s="617" t="n"/>
      <c r="F6" s="617" t="n"/>
      <c r="Q6" s="109" t="n"/>
    </row>
    <row r="7" ht="20.4" customHeight="1">
      <c r="D7" s="669" t="inlineStr">
        <is>
          <t>Parameter</t>
        </is>
      </c>
      <c r="E7" s="569" t="n"/>
      <c r="F7" s="669" t="inlineStr">
        <is>
          <t>S--</t>
        </is>
      </c>
      <c r="G7" s="569" t="n"/>
      <c r="H7" s="669" t="inlineStr">
        <is>
          <t>TSS</t>
        </is>
      </c>
      <c r="I7" s="569" t="n"/>
      <c r="J7" s="669" t="inlineStr">
        <is>
          <t>COD</t>
        </is>
      </c>
      <c r="K7" s="569" t="n"/>
      <c r="L7" s="669" t="inlineStr">
        <is>
          <t>BOD</t>
        </is>
      </c>
      <c r="M7" s="569" t="n"/>
      <c r="N7" s="669" t="inlineStr">
        <is>
          <t>MLSS</t>
        </is>
      </c>
      <c r="O7" s="569" t="n"/>
      <c r="Q7" s="109" t="n"/>
    </row>
    <row r="8" ht="20.4" customHeight="1">
      <c r="D8" s="669" t="inlineStr">
        <is>
          <t>Removal</t>
        </is>
      </c>
      <c r="E8" s="569" t="n"/>
      <c r="F8" s="778">
        <f>IFERROR((Main!$L$16-Main!$L$18)/Main!$L$16,"")</f>
        <v/>
      </c>
      <c r="G8" s="569" t="n"/>
      <c r="H8" s="778">
        <f>IFERROR((Main!$H$16-Main!$H$18)/Main!$H$16,"")</f>
        <v/>
      </c>
      <c r="I8" s="569" t="n"/>
      <c r="J8" s="778">
        <f>IFERROR((Main!$J$16-Main!$J$18)/Main!$J$16,"")</f>
        <v/>
      </c>
      <c r="K8" s="569" t="n"/>
      <c r="L8" s="778">
        <f>IFERROR((Main!$D$34-Main!$H$34)/Main!$D$34,"")</f>
        <v/>
      </c>
      <c r="M8" s="569" t="n"/>
      <c r="N8" s="778">
        <f>IFERROR(IF(Main!$H$18="","",(Main!$E$25-Main!$H$18)/Main!$E$25),"")</f>
        <v/>
      </c>
      <c r="O8" s="569" t="n"/>
      <c r="Q8" s="109" t="n"/>
    </row>
    <row r="9" ht="20.4" customFormat="1" customHeight="1" s="64">
      <c r="A9" s="582" t="n"/>
      <c r="B9" s="582" t="n"/>
      <c r="C9" s="582" t="n"/>
      <c r="D9" s="582" t="n"/>
      <c r="E9" s="582" t="n"/>
      <c r="F9" s="582" t="n"/>
      <c r="G9" s="582" t="n"/>
      <c r="H9" s="582" t="n"/>
      <c r="I9" s="582" t="n"/>
      <c r="J9" s="582" t="n"/>
      <c r="K9" s="582" t="n"/>
      <c r="L9" s="582" t="n"/>
      <c r="M9" s="582" t="n"/>
      <c r="N9" s="582" t="n"/>
      <c r="O9" s="582" t="n"/>
      <c r="P9" s="582" t="n"/>
      <c r="Q9" s="115" t="n"/>
    </row>
    <row r="10" ht="20.4" customFormat="1" customHeight="1" s="67">
      <c r="A10" s="582" t="n"/>
      <c r="B10" s="582" t="n"/>
      <c r="C10" s="582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582" t="n"/>
      <c r="O10" s="582" t="n"/>
      <c r="P10" s="582" t="n"/>
      <c r="Q10" s="115" t="n"/>
      <c r="R10" s="64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</row>
    <row r="11" ht="20.4" customFormat="1" customHeight="1" s="64">
      <c r="A11" s="582" t="n"/>
      <c r="B11" s="582" t="n"/>
      <c r="C11" s="582" t="n"/>
      <c r="D11" s="582" t="n"/>
      <c r="E11" s="582" t="n"/>
      <c r="F11" s="582" t="n"/>
      <c r="G11" s="582" t="n"/>
      <c r="H11" s="582" t="n"/>
      <c r="I11" s="582" t="n"/>
      <c r="J11" s="582" t="n"/>
      <c r="K11" s="582" t="n"/>
      <c r="L11" s="582" t="n"/>
      <c r="M11" s="582" t="n"/>
      <c r="N11" s="582" t="n"/>
      <c r="O11" s="582" t="n"/>
      <c r="P11" s="582" t="n"/>
      <c r="Q11" s="115" t="n"/>
    </row>
    <row r="12" ht="20.4" customFormat="1" customHeight="1" s="67">
      <c r="A12" s="582" t="n"/>
      <c r="B12" s="582" t="n"/>
      <c r="C12" s="582" t="n"/>
      <c r="D12" s="582" t="n"/>
      <c r="E12" s="582" t="n"/>
      <c r="F12" s="582" t="n"/>
      <c r="G12" s="582" t="n"/>
      <c r="H12" s="582" t="n"/>
      <c r="I12" s="582" t="n"/>
      <c r="J12" s="582" t="n"/>
      <c r="K12" s="582" t="n"/>
      <c r="L12" s="582" t="n"/>
      <c r="M12" s="582" t="n"/>
      <c r="N12" s="582" t="n"/>
      <c r="O12" s="582" t="n"/>
      <c r="P12" s="582" t="n"/>
      <c r="Q12" s="115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</row>
    <row r="13" ht="20.4" customFormat="1" customHeight="1" s="64">
      <c r="A13" s="582" t="n"/>
      <c r="B13" s="582" t="n"/>
      <c r="C13" s="582" t="n"/>
      <c r="D13" s="582" t="n"/>
      <c r="E13" s="582" t="n"/>
      <c r="F13" s="582" t="n"/>
      <c r="G13" s="582" t="n"/>
      <c r="H13" s="582" t="n"/>
      <c r="I13" s="582" t="n"/>
      <c r="J13" s="582" t="n"/>
      <c r="K13" s="582" t="n"/>
      <c r="L13" s="582" t="n"/>
      <c r="M13" s="582" t="n"/>
      <c r="N13" s="582" t="n"/>
      <c r="O13" s="582" t="n"/>
      <c r="P13" s="582" t="n"/>
      <c r="Q13" s="115" t="n"/>
      <c r="T13" s="633" t="inlineStr">
        <is>
          <t>رجوع</t>
        </is>
      </c>
      <c r="U13" s="582" t="n"/>
    </row>
    <row r="14" ht="20.4" customFormat="1" customHeight="1" s="67">
      <c r="A14" s="582" t="n"/>
      <c r="B14" s="582" t="n"/>
      <c r="C14" s="582" t="n"/>
      <c r="D14" s="582" t="n"/>
      <c r="E14" s="582" t="n"/>
      <c r="F14" s="582" t="n"/>
      <c r="G14" s="582" t="n"/>
      <c r="H14" s="582" t="n"/>
      <c r="I14" s="582" t="n"/>
      <c r="J14" s="582" t="n"/>
      <c r="K14" s="582" t="n"/>
      <c r="L14" s="582" t="n"/>
      <c r="M14" s="582" t="n"/>
      <c r="N14" s="582" t="n"/>
      <c r="O14" s="582" t="n"/>
      <c r="P14" s="582" t="n"/>
      <c r="Q14" s="115" t="n"/>
      <c r="R14" s="64" t="n"/>
      <c r="S14" s="64" t="n"/>
      <c r="T14" s="582" t="n"/>
      <c r="U14" s="582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</row>
    <row r="15" customFormat="1" s="64">
      <c r="A15" s="582" t="n"/>
      <c r="B15" s="582" t="n"/>
      <c r="C15" s="582" t="n"/>
      <c r="D15" s="582" t="n"/>
      <c r="E15" s="582" t="n"/>
      <c r="F15" s="582" t="n"/>
      <c r="G15" s="582" t="n"/>
      <c r="H15" s="582" t="n"/>
      <c r="I15" s="582" t="n"/>
      <c r="J15" s="582" t="n"/>
      <c r="K15" s="582" t="n"/>
      <c r="L15" s="582" t="n"/>
      <c r="M15" s="582" t="n"/>
      <c r="N15" s="582" t="n"/>
      <c r="O15" s="582" t="n"/>
      <c r="P15" s="582" t="n"/>
      <c r="T15" s="582" t="n"/>
      <c r="U15" s="582" t="n"/>
    </row>
    <row r="16" customFormat="1" s="68">
      <c r="T16" s="582" t="n"/>
      <c r="U16" s="582" t="n"/>
    </row>
    <row r="31" ht="33.6" customHeight="1">
      <c r="A31" s="389" t="inlineStr">
        <is>
          <t>Technical manager:</t>
        </is>
      </c>
      <c r="B31" s="389" t="n"/>
      <c r="C31" s="389" t="n"/>
      <c r="D31" s="390" t="inlineStr">
        <is>
          <t>Mohamad Alawamy</t>
        </is>
      </c>
      <c r="E31" s="389" t="n"/>
      <c r="F31" s="389" t="n"/>
      <c r="H31" s="5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L1iirbqfy8DcvViKEy34yw==" formatRows="1" sort="1" spinCount="100000" hashValue="GjPlaMvSSztciLDGtvFR5UsOUUp7X4rsVhp/SJhsi80dnobjFrhNOSv8KKTZf2ScZ+p8f2c5XpU9dkUr44swJw=="/>
  <mergeCells count="19">
    <mergeCell ref="A5:P5"/>
    <mergeCell ref="L7:M7"/>
    <mergeCell ref="N7:O7"/>
    <mergeCell ref="J3:P3"/>
    <mergeCell ref="I2:P2"/>
    <mergeCell ref="F7:G7"/>
    <mergeCell ref="L8:M8"/>
    <mergeCell ref="N8:O8"/>
    <mergeCell ref="T13:U16"/>
    <mergeCell ref="F8:G8"/>
    <mergeCell ref="J1:P1"/>
    <mergeCell ref="D7:E7"/>
    <mergeCell ref="H7:I7"/>
    <mergeCell ref="J7:K7"/>
    <mergeCell ref="D8:E8"/>
    <mergeCell ref="D6:F6"/>
    <mergeCell ref="J4:P4"/>
    <mergeCell ref="H8:I8"/>
    <mergeCell ref="J8:K8"/>
  </mergeCells>
  <hyperlinks>
    <hyperlink ref="T13" location="Main!A1" display="رجوع"/>
  </hyperlinks>
  <pageMargins left="0.748030402449694" right="0.748030402449694" top="0.984251968503937" bottom="0.984251968503937" header="0.511809930008749" footer="0.511809930008749"/>
  <pageSetup orientation="landscape" paperSize="9" scale="90"/>
  <colBreaks count="1" manualBreakCount="1">
    <brk id="18" min="0" max="27" man="1"/>
  </colBreaks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7">
    <outlinePr summaryBelow="1" summaryRight="1"/>
    <pageSetUpPr fitToPage="1"/>
  </sheetPr>
  <dimension ref="A1:AQ75"/>
  <sheetViews>
    <sheetView topLeftCell="A28" zoomScaleNormal="100" workbookViewId="0">
      <selection activeCell="L34" sqref="L34"/>
    </sheetView>
  </sheetViews>
  <sheetFormatPr baseColWidth="8" defaultColWidth="9.109375" defaultRowHeight="13.2"/>
  <cols>
    <col width="48.109375" customWidth="1" style="534" min="1" max="1"/>
    <col width="9.109375" customWidth="1" style="534" min="2" max="2"/>
    <col width="13.88671875" customWidth="1" style="534" min="3" max="3"/>
    <col width="13.44140625" customWidth="1" style="534" min="4" max="4"/>
    <col width="9.109375" customWidth="1" style="534" min="5" max="9"/>
    <col width="12.5546875" bestFit="1" customWidth="1" style="534" min="10" max="10"/>
    <col width="9.33203125" bestFit="1" customWidth="1" style="534" min="11" max="11"/>
    <col width="10.109375" customWidth="1" style="534" min="12" max="12"/>
    <col width="9.109375" customWidth="1" style="534" min="13" max="15"/>
    <col width="9.33203125" bestFit="1" customWidth="1" style="534" min="16" max="16"/>
    <col width="9.109375" customWidth="1" style="534" min="17" max="17"/>
    <col width="9.33203125" bestFit="1" customWidth="1" style="534" min="18" max="18"/>
    <col width="9.109375" customWidth="1" style="534" min="19" max="19"/>
    <col width="44.109375" bestFit="1" customWidth="1" style="534" min="20" max="20"/>
    <col width="21.44140625" bestFit="1" customWidth="1" style="534" min="21" max="21"/>
    <col width="16.88671875" bestFit="1" customWidth="1" style="534" min="22" max="23"/>
    <col width="26.5546875" bestFit="1" customWidth="1" style="534" min="24" max="24"/>
    <col width="16.109375" bestFit="1" customWidth="1" style="534" min="25" max="25"/>
    <col width="13.88671875" bestFit="1" customWidth="1" style="534" min="26" max="26"/>
    <col width="23.6640625" bestFit="1" customWidth="1" style="534" min="27" max="27"/>
    <col width="18" bestFit="1" customWidth="1" style="534" min="28" max="28"/>
    <col width="16.44140625" bestFit="1" customWidth="1" style="534" min="29" max="29"/>
    <col width="23.6640625" bestFit="1" customWidth="1" style="534" min="30" max="30"/>
    <col width="18.44140625" bestFit="1" customWidth="1" style="534" min="31" max="32"/>
    <col width="22.44140625" bestFit="1" customWidth="1" style="534" min="33" max="33"/>
    <col width="13.33203125" bestFit="1" customWidth="1" style="534" min="34" max="34"/>
    <col width="18.33203125" bestFit="1" customWidth="1" style="534" min="35" max="35"/>
    <col width="9.109375" customWidth="1" style="534" min="36" max="37"/>
    <col width="9.109375" customWidth="1" style="534" min="38" max="16384"/>
  </cols>
  <sheetData>
    <row r="1" ht="24.9" customHeight="1">
      <c r="P1" s="116" t="inlineStr">
        <is>
          <t>الشركة القابضة لمياة الشرب و الصرف الصحى</t>
        </is>
      </c>
    </row>
    <row r="2" ht="24.9" customHeight="1">
      <c r="P2" s="116" t="inlineStr">
        <is>
          <t>قطاع المعامل</t>
        </is>
      </c>
    </row>
    <row r="3" ht="24.9" customHeight="1">
      <c r="P3" s="116" t="inlineStr">
        <is>
          <t>الأدارة العامة لمعامل الصرف الصحى</t>
        </is>
      </c>
    </row>
    <row r="4" ht="24.9" customHeight="1" thickBot="1">
      <c r="H4" s="117" t="n"/>
    </row>
    <row r="5" ht="24.9" customFormat="1" customHeight="1" s="119" thickBot="1">
      <c r="A5" s="694">
        <f>COD!A5</f>
        <v/>
      </c>
      <c r="B5" s="674" t="n"/>
      <c r="C5" s="674" t="n"/>
      <c r="D5" s="674" t="n"/>
      <c r="E5" s="674" t="n"/>
      <c r="F5" s="674" t="n"/>
      <c r="G5" s="674" t="n"/>
      <c r="H5" s="674" t="n"/>
      <c r="I5" s="674" t="n"/>
      <c r="J5" s="674" t="n"/>
      <c r="K5" s="674" t="n"/>
      <c r="L5" s="674" t="n"/>
      <c r="M5" s="674" t="n"/>
      <c r="N5" s="674" t="n"/>
      <c r="O5" s="674" t="n"/>
      <c r="P5" s="675" t="n"/>
      <c r="Q5" s="118" t="n"/>
    </row>
    <row r="6" ht="24.9" customHeight="1">
      <c r="A6" s="120" t="inlineStr">
        <is>
          <t>BOD5 WORK SHEET</t>
        </is>
      </c>
      <c r="B6" s="121" t="n"/>
      <c r="C6" s="121" t="n"/>
      <c r="D6" s="121" t="n"/>
      <c r="E6" s="121" t="n"/>
      <c r="F6" s="122" t="n"/>
      <c r="G6" s="121" t="n"/>
      <c r="H6" s="550" t="inlineStr">
        <is>
          <t xml:space="preserve"> SAMPLE DATE:    </t>
        </is>
      </c>
      <c r="I6" s="550" t="n"/>
      <c r="J6" s="682">
        <f>IF(ISBLANK(Main!D11),"",Main!D11)</f>
        <v/>
      </c>
      <c r="K6" s="605" t="n"/>
      <c r="L6" s="550" t="inlineStr">
        <is>
          <t xml:space="preserve"> ANALYSIS DATE:    </t>
        </is>
      </c>
      <c r="M6" s="550" t="n"/>
      <c r="N6" s="695">
        <f>IFERROR(J6+K7,"")</f>
        <v/>
      </c>
      <c r="O6" s="617" t="n"/>
      <c r="P6" s="618" t="n"/>
      <c r="Q6" s="123" t="n"/>
    </row>
    <row r="7" ht="24.9" customHeight="1">
      <c r="A7" s="124" t="inlineStr">
        <is>
          <t xml:space="preserve">  18th EDITION, of The Standard Method for the Examination of Water and Wastewater</t>
        </is>
      </c>
      <c r="F7" s="125" t="n"/>
      <c r="H7" s="328" t="inlineStr">
        <is>
          <t xml:space="preserve"> TIME:        </t>
        </is>
      </c>
      <c r="I7" s="542" t="n"/>
      <c r="J7" s="779" t="n"/>
      <c r="K7" s="543" t="n">
        <v>0</v>
      </c>
      <c r="L7" s="542" t="inlineStr">
        <is>
          <t xml:space="preserve"> 0 DAY DO DATE:             </t>
        </is>
      </c>
      <c r="M7" s="542" t="n"/>
      <c r="N7" s="689">
        <f>N6</f>
        <v/>
      </c>
      <c r="O7" s="623" t="n"/>
      <c r="P7" s="624" t="n"/>
      <c r="Q7" s="123" t="n"/>
    </row>
    <row r="8" ht="24.9" customHeight="1" thickBot="1">
      <c r="A8" s="124" t="inlineStr">
        <is>
          <t xml:space="preserve"> PROCEDURE NUMBER  5210 B</t>
        </is>
      </c>
      <c r="C8" s="542" t="n"/>
      <c r="D8" s="542" t="n"/>
      <c r="E8" s="542" t="n"/>
      <c r="F8" s="127" t="n"/>
      <c r="G8" s="542" t="n"/>
      <c r="H8" s="328" t="inlineStr">
        <is>
          <t xml:space="preserve"> TIME:         </t>
        </is>
      </c>
      <c r="I8" s="542" t="n"/>
      <c r="J8" s="779" t="n"/>
      <c r="K8" s="543" t="n"/>
      <c r="L8" s="542" t="inlineStr">
        <is>
          <t xml:space="preserve"> 5 DAY DO DATE:          </t>
        </is>
      </c>
      <c r="M8" s="542" t="n"/>
      <c r="N8" s="689">
        <f>IFERROR(N7+5,"")</f>
        <v/>
      </c>
      <c r="O8" s="623" t="n"/>
      <c r="P8" s="624" t="n"/>
      <c r="Q8" s="123" t="n"/>
    </row>
    <row r="9" ht="24.9" customHeight="1" thickBot="1">
      <c r="A9" s="330">
        <f>IF(ISBLANK(J7),"",CONCATENATE(TEXT($J$7,"H:MM:ss AM/PM")&amp; " INCUBATOR TEMPERATURE, DO1 "))</f>
        <v/>
      </c>
      <c r="B9" s="780" t="n"/>
      <c r="D9" s="128" t="inlineStr">
        <is>
          <t>V</t>
        </is>
      </c>
      <c r="F9" s="125" t="n"/>
      <c r="H9" s="534" t="inlineStr">
        <is>
          <t xml:space="preserve"> ANALYST:</t>
        </is>
      </c>
      <c r="J9" s="688">
        <f>Efficiency!D31</f>
        <v/>
      </c>
      <c r="K9" s="574" t="n"/>
      <c r="L9" s="574" t="n"/>
      <c r="N9" s="539" t="n"/>
      <c r="O9" s="539" t="n"/>
      <c r="P9" s="640" t="n"/>
      <c r="Q9" s="123" t="n"/>
      <c r="R9" s="534" t="inlineStr">
        <is>
          <t>PH</t>
        </is>
      </c>
    </row>
    <row r="10" ht="24.9" customHeight="1" thickBot="1">
      <c r="A10" s="331">
        <f>IF(ISBLANK(J8),"",CONCATENATE(TEXT($J$8,"H:MM:ss AM/PM")&amp; " INCUBATOR TEMPERATURE, DO5 "))</f>
        <v/>
      </c>
      <c r="B10" s="781" t="n"/>
      <c r="C10" s="661" t="n"/>
      <c r="D10" s="129" t="n">
        <v>300</v>
      </c>
      <c r="E10" s="661" t="n"/>
      <c r="F10" s="130" t="n"/>
      <c r="G10" s="661" t="n"/>
      <c r="H10" s="686" t="inlineStr">
        <is>
          <t>W    seeding</t>
        </is>
      </c>
      <c r="I10" s="661" t="n"/>
      <c r="J10" s="661" t="n"/>
      <c r="K10" s="661" t="n"/>
      <c r="L10" s="693" t="inlineStr">
        <is>
          <t>Seeding</t>
        </is>
      </c>
      <c r="M10" s="661" t="n"/>
      <c r="N10" s="661" t="n"/>
      <c r="O10" s="661" t="n"/>
      <c r="P10" s="130" t="n"/>
      <c r="Q10" s="123" t="inlineStr">
        <is>
          <t>Influent</t>
        </is>
      </c>
      <c r="R10" s="272">
        <f>Main!E16</f>
        <v/>
      </c>
    </row>
    <row r="11" ht="24.9" customFormat="1" customHeight="1" s="134">
      <c r="A11" s="131" t="inlineStr">
        <is>
          <t xml:space="preserve"> (1) SAMPLE TYPE</t>
        </is>
      </c>
      <c r="B11" s="681">
        <f>IFERROR(IF(AVERAGE(B12:C12)&lt;&gt;0,"BLANK",""),"")</f>
        <v/>
      </c>
      <c r="C11" s="605" t="n"/>
      <c r="D11" s="681">
        <f>IFERROR(IF(AVERAGE(D12:E12)&lt;&gt;0,"Influent",""),"")</f>
        <v/>
      </c>
      <c r="E11" s="605" t="n"/>
      <c r="F11" s="681">
        <f>IFERROR(IF(AVERAGE(F12:G12)&lt;&gt;0,"Effluent",""),"")</f>
        <v/>
      </c>
      <c r="G11" s="605" t="n"/>
      <c r="H11" s="687">
        <f>IFERROR(IF(OR($P$17="",$H$12=""),"",CONCATENATE($F$11," ","+"," ",$P$17)),"")</f>
        <v/>
      </c>
      <c r="I11" s="605" t="n"/>
      <c r="J11" s="687">
        <f>IFERROR(IF(OR($P$17="",J12=""),"",CONCATENATE($D$11," ","+"," ",$P$17)),"")</f>
        <v/>
      </c>
      <c r="K11" s="605" t="n"/>
      <c r="L11" s="687">
        <f>IFERROR(IF(AVERAGE(L12:O12)&lt;&gt;0,"Seeding",""),"")</f>
        <v/>
      </c>
      <c r="M11" s="617" t="n"/>
      <c r="N11" s="617" t="n"/>
      <c r="O11" s="605" t="n"/>
      <c r="P11" s="254" t="inlineStr">
        <is>
          <t>Seeding</t>
        </is>
      </c>
      <c r="Q11" s="133" t="inlineStr">
        <is>
          <t>effluent</t>
        </is>
      </c>
      <c r="R11" s="273">
        <f>Main!E18</f>
        <v/>
      </c>
    </row>
    <row r="12" ht="24.9" customFormat="1" customHeight="1" s="139">
      <c r="A12" s="135" t="inlineStr">
        <is>
          <t xml:space="preserve"> (2) BOTTLE NUMBER</t>
        </is>
      </c>
      <c r="B12" s="136" t="n"/>
      <c r="C12" s="136" t="n"/>
      <c r="D12" s="136" t="n"/>
      <c r="E12" s="137" t="n"/>
      <c r="F12" s="137" t="n"/>
      <c r="G12" s="136" t="n"/>
      <c r="H12" s="136" t="n"/>
      <c r="I12" s="137" t="n"/>
      <c r="J12" s="137" t="n"/>
      <c r="K12" s="137" t="n"/>
      <c r="L12" s="137" t="n"/>
      <c r="M12" s="136" t="n"/>
      <c r="N12" s="137" t="n"/>
      <c r="O12" s="136" t="n"/>
      <c r="P12" s="138" t="n"/>
      <c r="Q12" s="133" t="n"/>
      <c r="R12" s="134" t="n"/>
      <c r="S12" s="134" t="n"/>
      <c r="T12" s="134" t="n"/>
      <c r="U12" s="134" t="n"/>
      <c r="V12" s="134" t="n"/>
      <c r="W12" s="134" t="n"/>
      <c r="X12" s="134" t="n"/>
      <c r="Y12" s="134" t="n"/>
      <c r="Z12" s="134" t="n"/>
      <c r="AA12" s="134" t="n"/>
      <c r="AB12" s="134" t="n"/>
      <c r="AC12" s="134" t="n"/>
      <c r="AD12" s="134" t="n"/>
      <c r="AE12" s="134" t="n"/>
      <c r="AF12" s="134" t="n"/>
      <c r="AG12" s="134" t="n"/>
      <c r="AH12" s="134" t="n"/>
      <c r="AI12" s="134" t="n"/>
      <c r="AJ12" s="134" t="n"/>
    </row>
    <row r="13" ht="24.9" customFormat="1" customHeight="1" s="134">
      <c r="A13" s="140" t="inlineStr">
        <is>
          <t xml:space="preserve"> (3) SAMPLE VOLUME, ml</t>
        </is>
      </c>
      <c r="B13" s="683" t="n"/>
      <c r="C13" s="540" t="n"/>
      <c r="D13" s="744" t="n"/>
      <c r="E13" s="141" t="n"/>
      <c r="F13" s="744" t="n"/>
      <c r="G13" s="141" t="n"/>
      <c r="H13" s="141" t="n"/>
      <c r="I13" s="141" t="n"/>
      <c r="J13" s="141" t="n"/>
      <c r="K13" s="141" t="n"/>
      <c r="L13" s="141" t="n"/>
      <c r="M13" s="88" t="n"/>
      <c r="N13" s="141" t="n"/>
      <c r="O13" s="88" t="n"/>
      <c r="P13" s="142" t="n"/>
      <c r="Q13" s="133" t="n"/>
    </row>
    <row r="14" ht="24.9" customFormat="1" customHeight="1" s="139">
      <c r="A14" s="135" t="inlineStr">
        <is>
          <t xml:space="preserve"> (4) DILUTION FACTOR = 300 / (3)</t>
        </is>
      </c>
      <c r="B14" s="541" t="n"/>
      <c r="C14" s="543" t="n"/>
      <c r="D14" s="148">
        <f>IFERROR($D$10/D13,"")</f>
        <v/>
      </c>
      <c r="E14" s="148">
        <f>IFERROR($D$10/E13,"")</f>
        <v/>
      </c>
      <c r="F14" s="148">
        <f>IFERROR($D$10/F13,"")</f>
        <v/>
      </c>
      <c r="G14" s="148">
        <f>IFERROR($D$10/G13,"")</f>
        <v/>
      </c>
      <c r="H14" s="148">
        <f>IFERROR($D$10/H13,"")</f>
        <v/>
      </c>
      <c r="I14" s="148">
        <f>IFERROR($D$10/I13,"")</f>
        <v/>
      </c>
      <c r="J14" s="148">
        <f>IFERROR($D$10/J13,"")</f>
        <v/>
      </c>
      <c r="K14" s="148">
        <f>IFERROR($D$10/K13,"")</f>
        <v/>
      </c>
      <c r="L14" s="143">
        <f>IFERROR($D$10/L13,"")</f>
        <v/>
      </c>
      <c r="M14" s="143">
        <f>IFERROR($D$10/M13,"")</f>
        <v/>
      </c>
      <c r="N14" s="143">
        <f>IFERROR($D$10/N13,"")</f>
        <v/>
      </c>
      <c r="O14" s="143">
        <f>IFERROR($D$10/O13,"")</f>
        <v/>
      </c>
      <c r="P14" s="143">
        <f>IFERROR(300/P13,"")</f>
        <v/>
      </c>
      <c r="Q14" s="133" t="n"/>
      <c r="R14" s="134" t="n"/>
      <c r="S14" s="134" t="n"/>
      <c r="T14" s="134" t="n"/>
      <c r="U14" s="134" t="n"/>
      <c r="V14" s="134" t="n"/>
      <c r="W14" s="134" t="n"/>
      <c r="X14" s="134" t="n"/>
      <c r="Y14" s="134" t="n"/>
      <c r="Z14" s="134" t="n"/>
      <c r="AA14" s="134" t="n"/>
      <c r="AB14" s="134" t="n"/>
      <c r="AC14" s="134" t="n"/>
      <c r="AD14" s="134" t="n"/>
      <c r="AE14" s="134" t="n"/>
      <c r="AF14" s="134" t="n"/>
      <c r="AG14" s="134" t="n"/>
      <c r="AH14" s="134" t="n"/>
      <c r="AI14" s="134" t="n"/>
      <c r="AJ14" s="134" t="n"/>
    </row>
    <row r="15" ht="24.9" customFormat="1" customHeight="1" s="134">
      <c r="A15" s="131" t="inlineStr">
        <is>
          <t xml:space="preserve"> (5) INITIAL DO, mg/l</t>
        </is>
      </c>
      <c r="B15" s="744" t="n"/>
      <c r="C15" s="141" t="n"/>
      <c r="D15" s="141" t="n"/>
      <c r="E15" s="141" t="n"/>
      <c r="F15" s="88" t="n"/>
      <c r="G15" s="141" t="n"/>
      <c r="H15" s="141" t="n"/>
      <c r="I15" s="88" t="n"/>
      <c r="J15" s="141" t="n"/>
      <c r="K15" s="141" t="n"/>
      <c r="L15" s="141" t="n"/>
      <c r="M15" s="88" t="n"/>
      <c r="N15" s="141" t="n"/>
      <c r="O15" s="88" t="n"/>
      <c r="P15" s="142" t="n"/>
      <c r="Q15" s="133" t="n"/>
    </row>
    <row r="16" ht="24.9" customFormat="1" customHeight="1" s="139">
      <c r="A16" s="135" t="inlineStr">
        <is>
          <t xml:space="preserve"> (6) 5- DAY DO, mg/l *</t>
        </is>
      </c>
      <c r="B16" s="137" t="n"/>
      <c r="C16" s="137" t="n"/>
      <c r="D16" s="137" t="n"/>
      <c r="E16" s="137" t="n"/>
      <c r="F16" s="137" t="n"/>
      <c r="G16" s="137" t="n"/>
      <c r="H16" s="136" t="n"/>
      <c r="I16" s="137" t="n"/>
      <c r="J16" s="137" t="n"/>
      <c r="K16" s="137" t="n"/>
      <c r="L16" s="137" t="n"/>
      <c r="M16" s="144" t="n"/>
      <c r="N16" s="137" t="n"/>
      <c r="O16" s="144" t="n"/>
      <c r="P16" s="138" t="inlineStr">
        <is>
          <t>V</t>
        </is>
      </c>
      <c r="Q16" s="145" t="n"/>
      <c r="R16" s="134" t="n"/>
      <c r="S16" s="134" t="n"/>
      <c r="T16" s="134" t="n"/>
      <c r="U16" s="134" t="n"/>
      <c r="V16" s="134" t="n"/>
      <c r="W16" s="134" t="n"/>
      <c r="X16" s="134" t="n"/>
      <c r="Y16" s="134" t="n"/>
      <c r="Z16" s="134" t="n"/>
      <c r="AA16" s="134" t="n"/>
      <c r="AB16" s="134" t="n"/>
      <c r="AC16" s="134" t="n"/>
      <c r="AD16" s="134" t="n"/>
      <c r="AE16" s="134" t="n"/>
      <c r="AF16" s="134" t="n"/>
      <c r="AG16" s="134" t="n"/>
      <c r="AH16" s="134" t="n"/>
      <c r="AI16" s="134" t="n"/>
      <c r="AJ16" s="134" t="n"/>
    </row>
    <row r="17" ht="24.9" customFormat="1" customHeight="1" s="134">
      <c r="A17" s="131" t="inlineStr">
        <is>
          <t xml:space="preserve"> (7) DO DEPLETION, mg/l = (5) - (6) **</t>
        </is>
      </c>
      <c r="B17" s="146">
        <f>IFERROR(IF(B16="","",IF(B15&lt;B16,0,B15-B16)),"")</f>
        <v/>
      </c>
      <c r="C17" s="146">
        <f>IFERROR(IF(C16="","",IF(C15&lt;C16,0,C15-C16)),"")</f>
        <v/>
      </c>
      <c r="D17" s="146">
        <f>IFERROR(IF(D16&gt;=1,D15-D16,""),"")</f>
        <v/>
      </c>
      <c r="E17" s="146">
        <f>IFERROR(IF(E16&gt;=1,E15-E16,""),"")</f>
        <v/>
      </c>
      <c r="F17" s="146">
        <f>IFERROR(IF(F16&gt;=1,F15-F16,""),"")</f>
        <v/>
      </c>
      <c r="G17" s="146">
        <f>IFERROR(IF(G16&gt;=1,G15-G16,""),"")</f>
        <v/>
      </c>
      <c r="H17" s="146">
        <f>IFERROR(IF(H16&gt;=1,H15-H16,""),"")</f>
        <v/>
      </c>
      <c r="I17" s="146">
        <f>IFERROR(IF(I16&gt;=1,I15-I16,""),"")</f>
        <v/>
      </c>
      <c r="J17" s="146">
        <f>IFERROR(IF(J16&gt;=1,J15-J16,""),"")</f>
        <v/>
      </c>
      <c r="K17" s="146">
        <f>IFERROR(IF(K16&gt;=1,K15-K16,""),"")</f>
        <v/>
      </c>
      <c r="L17" s="146">
        <f>IFERROR(IF(L16&gt;=1,L15-L16,""),"")</f>
        <v/>
      </c>
      <c r="M17" s="146">
        <f>IFERROR(IF(M16&gt;=1,M15-M16,""),"")</f>
        <v/>
      </c>
      <c r="N17" s="146">
        <f>IFERROR(IF(N16&gt;=1,N15-N16,""),"")</f>
        <v/>
      </c>
      <c r="O17" s="146">
        <f>IFERROR(IF(O16&gt;=1,O15-O16,""),"")</f>
        <v/>
      </c>
      <c r="P17" s="141" t="n"/>
      <c r="Q17" s="145" t="n"/>
    </row>
    <row r="18" ht="24.9" customFormat="1" customHeight="1" s="139">
      <c r="A18" s="147" t="inlineStr">
        <is>
          <t xml:space="preserve"> (8) BLANK DEPLETION CORRECTION, mg/l      = (11) of Blank, mg/l X DW, ml / 300  </t>
        </is>
      </c>
      <c r="B18" s="683" t="n"/>
      <c r="C18" s="540" t="n"/>
      <c r="D18" s="148">
        <f>IFERROR(IF(D13&gt;0,IF(OR($B$17&gt;0.2,$C$17&gt;0.2),AVERAGE($B$17:$C$17)*($D$10-D13)/$D$10,"0"),""),"")</f>
        <v/>
      </c>
      <c r="E18" s="148">
        <f>IFERROR(IF(E13&gt;0,IF(OR($B$17&gt;0.2,$C$17&gt;0.2),AVERAGE($B$17:$C$17)*($D$10-E13)/$D$10,"0"),""),"")</f>
        <v/>
      </c>
      <c r="F18" s="148">
        <f>IFERROR(IF(F13&gt;0,IF(OR($B$17&gt;0.2,$C$17&gt;0.2),AVERAGE($B$17:$C$17)*($D$10-F13)/$D$10,"0"),""),"")</f>
        <v/>
      </c>
      <c r="G18" s="148">
        <f>IFERROR(IF(G13&gt;0,IF(OR($B$17&gt;0.2,$C$17&gt;0.2),AVERAGE($B$17:$C$17)*($D$10-G13)/$D$10,"0"),""),"")</f>
        <v/>
      </c>
      <c r="H18" s="148">
        <f>IFERROR(IF(H13&gt;0,IF(OR($B$17&gt;0.2,$C$17&gt;0.2),AVERAGE($B$17:$C$17)*($D$10-H13)/$D$10,"0"),""),"")</f>
        <v/>
      </c>
      <c r="I18" s="148">
        <f>IFERROR(IF(I13&gt;0,IF(OR($B$17&gt;0.2,$C$17&gt;0.2),AVERAGE($B$17:$C$17)*($D$10-I13)/$D$10,"0"),""),"")</f>
        <v/>
      </c>
      <c r="J18" s="148">
        <f>IFERROR(IF(J13&gt;0,IF(OR($B$17&gt;0.2,$C$17&gt;0.2),AVERAGE($B$17:$C$17)*($D$10-J13)/$D$10,"0"),""),"")</f>
        <v/>
      </c>
      <c r="K18" s="148">
        <f>IFERROR(IF(K13&gt;0,IF(OR($B$17&gt;0.2,$C$17&gt;0.2),AVERAGE($B$17:$C$17)*($D$10-K13)/$D$10,"0"),""),"")</f>
        <v/>
      </c>
      <c r="L18" s="148">
        <f>IFERROR(IF(L13&gt;0,IF(OR($B$17&gt;0.2,$C$17&gt;0.2),AVERAGE($B$17:$C$17)*($D$10-L13)/$D$10,"0"),""),"")</f>
        <v/>
      </c>
      <c r="M18" s="148">
        <f>IFERROR(IF(M13&gt;0,IF(OR($B$17&gt;0.2,$C$17&gt;0.2),AVERAGE($B$17:$C$17)*($D$10-M13)/$D$10,"0"),""),"")</f>
        <v/>
      </c>
      <c r="N18" s="148">
        <f>IFERROR(IF(N13&gt;0,IF(OR($B$17&gt;0.2,$C$17&gt;0.2),AVERAGE($B$17:$C$17)*($D$10-N13)/$D$10,"0"),""),"")</f>
        <v/>
      </c>
      <c r="O18" s="148">
        <f>IFERROR(IF(O13&gt;0,IF(OR($B$17&gt;0.2,$C$17&gt;0.2),AVERAGE($B$17:$C$17)*($D$10-O13)/$D$10,"0"),""),"")</f>
        <v/>
      </c>
      <c r="P18" s="148">
        <f>$D$10</f>
        <v/>
      </c>
      <c r="Q18" s="145" t="n"/>
      <c r="R18" s="134" t="n"/>
      <c r="S18" s="134" t="n"/>
      <c r="T18" s="134" t="n"/>
      <c r="U18" s="134" t="n"/>
      <c r="V18" s="134" t="n"/>
      <c r="W18" s="134" t="n"/>
      <c r="X18" s="134" t="n"/>
      <c r="Y18" s="134" t="n"/>
      <c r="Z18" s="134" t="n"/>
      <c r="AA18" s="134" t="n"/>
      <c r="AB18" s="134" t="n"/>
      <c r="AC18" s="134" t="n"/>
      <c r="AD18" s="134" t="n"/>
      <c r="AE18" s="134" t="n"/>
      <c r="AF18" s="134" t="n"/>
      <c r="AG18" s="134" t="n"/>
      <c r="AH18" s="134" t="n"/>
      <c r="AI18" s="134" t="n"/>
      <c r="AJ18" s="134" t="n"/>
    </row>
    <row r="19" ht="24.9" customFormat="1" customHeight="1" s="134">
      <c r="A19" s="131" t="inlineStr">
        <is>
          <t xml:space="preserve"> (9) DO CORRECTION = (7) - (8)</t>
        </is>
      </c>
      <c r="B19" s="684" t="n"/>
      <c r="C19" s="571" t="n"/>
      <c r="D19" s="149">
        <f>IFERROR(IF(D12&gt;0,D17-D18,""),"")</f>
        <v/>
      </c>
      <c r="E19" s="149">
        <f>IFERROR(IF(E12&gt;0,E17-E18,""),"")</f>
        <v/>
      </c>
      <c r="F19" s="149">
        <f>IFERROR(IF(F12&gt;0,F17-F18,""),"")</f>
        <v/>
      </c>
      <c r="G19" s="149">
        <f>IFERROR(IF(G12&gt;0,G17-G18,""),"")</f>
        <v/>
      </c>
      <c r="H19" s="150">
        <f>IFERROR(H17-(H18+$P$19),"")</f>
        <v/>
      </c>
      <c r="I19" s="150">
        <f>IFERROR(I17-(I18+$P$19),"")</f>
        <v/>
      </c>
      <c r="J19" s="150">
        <f>IFERROR(J17-(J18+$P$19),"")</f>
        <v/>
      </c>
      <c r="K19" s="150">
        <f>IFERROR(K17-(K18+$P$19),"")</f>
        <v/>
      </c>
      <c r="L19" s="149">
        <f>IFERROR(IF(L12&gt;0,L17-L18,""),"")</f>
        <v/>
      </c>
      <c r="M19" s="149">
        <f>IFERROR(IF(M12&gt;0,M17-M18,""),"")</f>
        <v/>
      </c>
      <c r="N19" s="149">
        <f>IFERROR(IF(N12&gt;0,N17-N18,""),"")</f>
        <v/>
      </c>
      <c r="O19" s="149">
        <f>IFERROR(IF(O12&gt;0,O17-O18,""),"")</f>
        <v/>
      </c>
      <c r="P19" s="149">
        <f>IFERROR((IF(L21="","",L21*P17/P18)),"")</f>
        <v/>
      </c>
      <c r="Q19" s="145" t="n"/>
    </row>
    <row r="20" ht="24.9" customFormat="1" customHeight="1" s="139">
      <c r="A20" s="151" t="inlineStr">
        <is>
          <t xml:space="preserve"> (10) BOD5, mg/l = (9) X (4)</t>
        </is>
      </c>
      <c r="B20" s="684" t="n"/>
      <c r="C20" s="571" t="n"/>
      <c r="D20" s="782">
        <f>IFERROR(IF(D16&gt;0,IF(D19&gt;=2,D19*D14,""),""),"")</f>
        <v/>
      </c>
      <c r="E20" s="782">
        <f>IFERROR(IF(E16&gt;0,IF(E19&gt;=2,E19*E14,""),""),"")</f>
        <v/>
      </c>
      <c r="F20" s="782">
        <f>IFERROR(IF(F16&gt;0,IF(F19&gt;=2,F19*F14,""),""),"")</f>
        <v/>
      </c>
      <c r="G20" s="782">
        <f>IFERROR(IF(G16&gt;0,IF(G19&gt;=2,G19*G14,""),""),"")</f>
        <v/>
      </c>
      <c r="H20" s="782">
        <f>IFERROR(IF(H16&gt;0,IF(H19&gt;=2,H19*H14,""),""),"")</f>
        <v/>
      </c>
      <c r="I20" s="782">
        <f>IFERROR(IF(I16&gt;0,IF(I19&gt;=2,I19*I14,""),""),"")</f>
        <v/>
      </c>
      <c r="J20" s="782">
        <f>IFERROR(IF(J16&gt;0,IF(J19&gt;=2,J19*J14,""),""),"")</f>
        <v/>
      </c>
      <c r="K20" s="782">
        <f>IFERROR(IF(K16&gt;0,IF(K19&gt;=2,K19*K14,""),""),"")</f>
        <v/>
      </c>
      <c r="L20" s="782">
        <f>IFERROR(IF(L16&gt;0,IF(L19&gt;=2,L19*L14,""),""),"")</f>
        <v/>
      </c>
      <c r="M20" s="782">
        <f>IFERROR(IF(M16&gt;0,IF(M19&gt;=2,M19*M14,""),""),"")</f>
        <v/>
      </c>
      <c r="N20" s="782">
        <f>IFERROR(IF(N16&gt;0,IF(N19&gt;=2,N19*N14,""),""),"")</f>
        <v/>
      </c>
      <c r="O20" s="782">
        <f>IFERROR(IF(O16&gt;0,IF(O19&gt;=2,O19*O14,""),""),"")</f>
        <v/>
      </c>
      <c r="P20" s="783" t="n"/>
      <c r="Q20" s="145" t="n"/>
      <c r="R20" s="134" t="n"/>
      <c r="S20" s="134" t="n"/>
      <c r="T20" s="134" t="n"/>
      <c r="U20" s="134" t="n"/>
      <c r="V20" s="134" t="n"/>
      <c r="W20" s="134" t="n"/>
      <c r="X20" s="134" t="n"/>
      <c r="Y20" s="134" t="n"/>
      <c r="Z20" s="134" t="n"/>
      <c r="AA20" s="134" t="n"/>
      <c r="AB20" s="134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</row>
    <row r="21" ht="24.9" customFormat="1" customHeight="1" s="134" thickBot="1">
      <c r="A21" s="152" t="inlineStr">
        <is>
          <t xml:space="preserve"> (11) BOD5  AVERAGE</t>
        </is>
      </c>
      <c r="B21" s="684" t="n"/>
      <c r="C21" s="571" t="n"/>
      <c r="D21" s="784">
        <f>IFERROR(AVERAGE(D20:E20),"")</f>
        <v/>
      </c>
      <c r="E21" s="656" t="n"/>
      <c r="F21" s="784">
        <f>IFERROR(AVERAGE(F20:G20),"")</f>
        <v/>
      </c>
      <c r="G21" s="656" t="n"/>
      <c r="H21" s="784">
        <f>IFERROR(AVERAGE(H20:I20),"")</f>
        <v/>
      </c>
      <c r="I21" s="656" t="n"/>
      <c r="J21" s="784">
        <f>IFERROR(AVERAGE(J20:K20),"")</f>
        <v/>
      </c>
      <c r="K21" s="656" t="n"/>
      <c r="L21" s="784">
        <f>IFERROR(AVERAGE(L20:O20),"")</f>
        <v/>
      </c>
      <c r="M21" s="692" t="n"/>
      <c r="N21" s="692" t="n"/>
      <c r="O21" s="656" t="n"/>
      <c r="P21" s="153" t="n"/>
      <c r="Q21" s="145" t="n"/>
      <c r="T21" s="327" t="inlineStr">
        <is>
          <t>Dilution Water</t>
        </is>
      </c>
    </row>
    <row r="22" ht="24.9" customFormat="1" customHeight="1" s="139">
      <c r="A22" s="154" t="inlineStr">
        <is>
          <t xml:space="preserve"> (12) BOD5  Correction</t>
        </is>
      </c>
      <c r="B22" s="684" t="n"/>
      <c r="C22" s="571" t="n"/>
      <c r="D22" s="785">
        <f>IFERROR(IF(OR(D17="",D20=""),(IF(D12&gt;0,(D15-D16-D18),""))*D14,""),"")</f>
        <v/>
      </c>
      <c r="E22" s="785">
        <f>IFERROR(IF(OR(E17="",E20=""),(IF(E12&gt;0,(E15-E16-E18),""))*E14,""),"")</f>
        <v/>
      </c>
      <c r="F22" s="785">
        <f>IFERROR(IF(OR(F17="",F20=""),(IF(F12&gt;0,(F15-F16-F18),""))*F14,""),"")</f>
        <v/>
      </c>
      <c r="G22" s="785">
        <f>IFERROR(IF(OR(G17="",G20=""),(IF(G12&gt;0,(G15-G16-G18),""))*G14,""),"")</f>
        <v/>
      </c>
      <c r="H22" s="785">
        <f>IFERROR(IF(OR(H17="",H20=""),(IF(H12&gt;0,(H15-H16-H18-$P$19),""))*H14,""),"")</f>
        <v/>
      </c>
      <c r="I22" s="785">
        <f>IFERROR(IF(OR(I17="",I20=""),(IF(I12&gt;0,(I15-I16-I18-$P$19),""))*I14,""),"")</f>
        <v/>
      </c>
      <c r="J22" s="785">
        <f>IFERROR(IF(OR(J17="",J20=""),(IF(J12&gt;0,(J15-J16-J18-$P$19),""))*J14,""),"")</f>
        <v/>
      </c>
      <c r="K22" s="785">
        <f>IFERROR(IF(OR(K17="",K20=""),(IF(K12&gt;0,(K15-K16-K18-$P$19),""))*K14,""),"")</f>
        <v/>
      </c>
      <c r="L22" s="785">
        <f>IFERROR(IF(OR(L17="",L20=""),(IF(L12&gt;0,(L15-L16-L18),""))*L14,""),"")</f>
        <v/>
      </c>
      <c r="M22" s="785">
        <f>IFERROR(IF(OR(M17="",M20=""),(IF(M12&gt;0,(M15-M16-M18),""))*M14,""),"")</f>
        <v/>
      </c>
      <c r="N22" s="785">
        <f>IFERROR(IF(OR(N17="",N20=""),(IF(N12&gt;0,(N15-N16-N18),""))*N14,""),"")</f>
        <v/>
      </c>
      <c r="O22" s="785">
        <f>IFERROR(IF(OR(O17="",O20=""),(IF(O12&gt;0,(O15-O16-O18),""))*O14,""),"")</f>
        <v/>
      </c>
      <c r="P22" s="785">
        <f>IFERROR(IF(P16&gt;0,IF(P19&gt;=2,P19*P14,""),""),"")</f>
        <v/>
      </c>
      <c r="Q22" s="145" t="n"/>
      <c r="R22" s="134" t="n"/>
      <c r="S22" s="134" t="n"/>
      <c r="T22" s="602" t="inlineStr">
        <is>
          <t>Column1</t>
        </is>
      </c>
      <c r="U22" s="602" t="inlineStr">
        <is>
          <t>FeCl3.6H2O</t>
        </is>
      </c>
      <c r="V22" s="602" t="inlineStr">
        <is>
          <t>KH2PO4</t>
        </is>
      </c>
      <c r="W22" s="602" t="inlineStr">
        <is>
          <t>K2HPO4</t>
        </is>
      </c>
      <c r="X22" s="602" t="inlineStr">
        <is>
          <t>Na2HPO4.7H2O</t>
        </is>
      </c>
      <c r="Y22" s="602" t="inlineStr">
        <is>
          <t>D.Water</t>
        </is>
      </c>
      <c r="Z22" s="602" t="inlineStr">
        <is>
          <t>NH4Cl</t>
        </is>
      </c>
      <c r="AA22" s="602" t="inlineStr">
        <is>
          <t>MgSO4.7H2O</t>
        </is>
      </c>
      <c r="AB22" s="602" t="inlineStr">
        <is>
          <t>CaCl2</t>
        </is>
      </c>
      <c r="AC22" s="602" t="inlineStr">
        <is>
          <t>glucose</t>
        </is>
      </c>
      <c r="AD22" s="602" t="inlineStr">
        <is>
          <t>glutamic acid</t>
        </is>
      </c>
      <c r="AE22" s="614" t="inlineStr">
        <is>
          <t>Na2HPO4</t>
        </is>
      </c>
      <c r="AF22" s="602" t="inlineStr">
        <is>
          <t>C4H8N2s</t>
        </is>
      </c>
      <c r="AG22" s="602" t="inlineStr">
        <is>
          <t>conc H2SO4</t>
        </is>
      </c>
      <c r="AH22" s="602" t="inlineStr">
        <is>
          <t>NaOH</t>
        </is>
      </c>
      <c r="AI22" s="602" t="inlineStr">
        <is>
          <t>Conc HCl</t>
        </is>
      </c>
      <c r="AJ22" s="614" t="n"/>
      <c r="AK22" s="134" t="n"/>
      <c r="AL22" s="134" t="n"/>
      <c r="AM22" s="134" t="n"/>
      <c r="AN22" s="134" t="n"/>
      <c r="AO22" s="134" t="n"/>
      <c r="AP22" s="134" t="n"/>
      <c r="AQ22" s="134" t="n"/>
    </row>
    <row r="23" ht="24.9" customFormat="1" customHeight="1" s="139" thickBot="1">
      <c r="A23" s="152" t="inlineStr">
        <is>
          <t>SPIKE recovery</t>
        </is>
      </c>
      <c r="B23" s="684" t="n"/>
      <c r="C23" s="571" t="n"/>
      <c r="D23" s="677" t="n"/>
      <c r="E23" s="540" t="n"/>
      <c r="F23" s="677" t="n"/>
      <c r="G23" s="540" t="n"/>
      <c r="H23" s="677" t="n"/>
      <c r="I23" s="540" t="n"/>
      <c r="J23" s="677" t="n"/>
      <c r="K23" s="540" t="n"/>
      <c r="L23" s="677" t="n"/>
      <c r="M23" s="540" t="n"/>
      <c r="N23" s="677" t="n"/>
      <c r="O23" s="540" t="n"/>
      <c r="P23" s="683" t="n"/>
      <c r="Q23" s="134" t="n"/>
      <c r="R23" s="134" t="n"/>
      <c r="S23" s="134" t="n"/>
      <c r="T23" s="602" t="inlineStr">
        <is>
          <t>Ferric chloride</t>
        </is>
      </c>
      <c r="U23" s="602" t="inlineStr">
        <is>
          <t>0.125  g</t>
        </is>
      </c>
      <c r="V23" s="602" t="n"/>
      <c r="W23" s="602" t="n"/>
      <c r="X23" s="602" t="n"/>
      <c r="Y23" s="602" t="inlineStr">
        <is>
          <t>To 500</t>
        </is>
      </c>
      <c r="Z23" s="602" t="n"/>
      <c r="AA23" s="602" t="n"/>
      <c r="AB23" s="602" t="n"/>
      <c r="AC23" s="602" t="n"/>
      <c r="AD23" s="602" t="n"/>
      <c r="AE23" s="602" t="n"/>
      <c r="AF23" s="602" t="n"/>
      <c r="AG23" s="602" t="n"/>
      <c r="AH23" s="602" t="n"/>
      <c r="AI23" s="602" t="inlineStr">
        <is>
          <t>3 drops</t>
        </is>
      </c>
      <c r="AJ23" s="614" t="n"/>
      <c r="AK23" s="134" t="n"/>
      <c r="AL23" s="134" t="n"/>
      <c r="AM23" s="134" t="n"/>
      <c r="AN23" s="134" t="n"/>
      <c r="AO23" s="134" t="n"/>
      <c r="AP23" s="134" t="n"/>
      <c r="AQ23" s="134" t="n"/>
    </row>
    <row r="24" ht="24.9" customFormat="1" customHeight="1" s="139" thickBot="1">
      <c r="A24" s="251" t="inlineStr">
        <is>
          <t>RPD</t>
        </is>
      </c>
      <c r="B24" s="541" t="n"/>
      <c r="C24" s="543" t="n"/>
      <c r="D24" s="680">
        <f>IFERROR(ABS(D20-E20)/D21,"")</f>
        <v/>
      </c>
      <c r="E24" s="656" t="n"/>
      <c r="F24" s="680">
        <f>IFERROR(ABS(F20-G20)/F21,"")</f>
        <v/>
      </c>
      <c r="G24" s="656" t="n"/>
      <c r="H24" s="680">
        <f>IFERROR(ABS(H20-I20)/H21,"")</f>
        <v/>
      </c>
      <c r="I24" s="656" t="n"/>
      <c r="J24" s="680">
        <f>IFERROR(ABS(J20-K20)/J21,"")</f>
        <v/>
      </c>
      <c r="K24" s="656" t="n"/>
      <c r="L24" s="680">
        <f>IFERROR((MAX(L20:O20)-MIN(L20:O20))/L21,"")</f>
        <v/>
      </c>
      <c r="M24" s="692" t="n"/>
      <c r="N24" s="692" t="n"/>
      <c r="O24" s="656" t="n"/>
      <c r="P24" s="562" t="n"/>
      <c r="Q24" s="134" t="n"/>
      <c r="R24" s="134" t="n"/>
      <c r="S24" s="134" t="n"/>
      <c r="T24" s="602" t="n"/>
      <c r="U24" s="602" t="n"/>
      <c r="V24" s="602" t="n"/>
      <c r="W24" s="602" t="n"/>
      <c r="X24" s="602" t="n"/>
      <c r="Y24" s="602" t="n"/>
      <c r="Z24" s="602" t="n"/>
      <c r="AA24" s="602" t="n"/>
      <c r="AB24" s="602" t="n"/>
      <c r="AC24" s="602" t="n"/>
      <c r="AD24" s="602" t="n"/>
      <c r="AE24" s="602" t="n"/>
      <c r="AF24" s="602" t="n"/>
      <c r="AG24" s="602" t="n"/>
      <c r="AH24" s="602" t="n"/>
      <c r="AI24" s="602" t="n"/>
      <c r="AJ24" s="614" t="n"/>
      <c r="AK24" s="134" t="n"/>
      <c r="AL24" s="134" t="n"/>
      <c r="AM24" s="134" t="n"/>
      <c r="AN24" s="134" t="n"/>
      <c r="AO24" s="134" t="n"/>
      <c r="AP24" s="134" t="n"/>
      <c r="AQ24" s="134" t="n"/>
    </row>
    <row r="25" ht="24.9" customFormat="1" customHeight="1" s="139">
      <c r="A25" s="19" t="inlineStr">
        <is>
          <t>*    The residual 5-day-DO must be at least 1mg/l</t>
        </is>
      </c>
      <c r="B25" s="534" t="inlineStr">
        <is>
          <t xml:space="preserve">If less </t>
        </is>
      </c>
      <c r="C25" s="534" t="inlineStr">
        <is>
          <t xml:space="preserve">The BOD is greater than the higest DO </t>
        </is>
      </c>
      <c r="D25" s="534" t="n"/>
      <c r="E25" s="534" t="n"/>
      <c r="F25" s="534" t="n"/>
      <c r="G25" s="534" t="n"/>
      <c r="H25" s="155" t="n"/>
      <c r="I25" s="155" t="n"/>
      <c r="J25" s="534" t="n"/>
      <c r="K25" s="534" t="n"/>
      <c r="L25" s="534" t="n"/>
      <c r="M25" s="534" t="n"/>
      <c r="N25" s="106" t="n"/>
      <c r="O25" s="534" t="n"/>
      <c r="P25" s="534" t="n"/>
      <c r="Q25" s="224" t="inlineStr">
        <is>
          <t>D.Water</t>
        </is>
      </c>
      <c r="R25" s="47" t="inlineStr">
        <is>
          <t>500 ml</t>
        </is>
      </c>
      <c r="S25" s="134" t="n"/>
      <c r="T25" s="602" t="inlineStr">
        <is>
          <t>Phosphate buffer solution</t>
        </is>
      </c>
      <c r="U25" s="602" t="n"/>
      <c r="V25" s="602" t="inlineStr">
        <is>
          <t>0.85 g</t>
        </is>
      </c>
      <c r="W25" s="602" t="inlineStr">
        <is>
          <t>2.175 g</t>
        </is>
      </c>
      <c r="X25" s="602" t="inlineStr">
        <is>
          <t>3.34  g</t>
        </is>
      </c>
      <c r="Y25" s="602" t="inlineStr">
        <is>
          <t>To 100</t>
        </is>
      </c>
      <c r="Z25" s="602" t="inlineStr">
        <is>
          <t>0.17  g</t>
        </is>
      </c>
      <c r="AA25" s="602" t="n"/>
      <c r="AB25" s="602" t="n"/>
      <c r="AC25" s="602" t="n"/>
      <c r="AD25" s="602" t="n"/>
      <c r="AE25" s="602" t="n"/>
      <c r="AF25" s="602" t="n"/>
      <c r="AG25" s="602" t="n"/>
      <c r="AH25" s="602" t="n"/>
      <c r="AI25" s="602" t="n"/>
      <c r="AJ25" s="614" t="n"/>
      <c r="AK25" s="134" t="n"/>
      <c r="AL25" s="134" t="n"/>
      <c r="AM25" s="134" t="n"/>
      <c r="AN25" s="134" t="n"/>
      <c r="AO25" s="134" t="n"/>
      <c r="AP25" s="134" t="n"/>
      <c r="AQ25" s="134" t="n"/>
    </row>
    <row r="26" ht="24.9" customHeight="1">
      <c r="A26" s="534" t="inlineStr">
        <is>
          <t>**   5-day-DO uptake 2 mg/l or greater</t>
        </is>
      </c>
      <c r="B26" s="534" t="inlineStr">
        <is>
          <t xml:space="preserve">If less </t>
        </is>
      </c>
      <c r="C26" s="534" t="inlineStr">
        <is>
          <t xml:space="preserve">The BOD is less than the lowest Dilution </t>
        </is>
      </c>
      <c r="G26" s="155" t="n"/>
      <c r="H26" s="155" t="n"/>
      <c r="I26" s="155" t="n"/>
      <c r="J26" s="685" t="inlineStr">
        <is>
          <t>Influent</t>
        </is>
      </c>
      <c r="K26" s="537" t="n"/>
      <c r="L26" s="685" t="inlineStr">
        <is>
          <t>effluent</t>
        </is>
      </c>
      <c r="M26" s="537" t="n"/>
      <c r="Q26" s="225" t="inlineStr">
        <is>
          <t>Glucose</t>
        </is>
      </c>
      <c r="R26" s="669" t="n">
        <v>75</v>
      </c>
      <c r="T26" s="602" t="inlineStr">
        <is>
          <t>Magnesium sulfate</t>
        </is>
      </c>
      <c r="U26" s="602" t="n"/>
      <c r="V26" s="602" t="n"/>
      <c r="W26" s="602" t="n"/>
      <c r="X26" s="602" t="n"/>
      <c r="Y26" s="602" t="inlineStr">
        <is>
          <t>To 100</t>
        </is>
      </c>
      <c r="Z26" s="602" t="n"/>
      <c r="AA26" s="602" t="inlineStr">
        <is>
          <t>2.25  g</t>
        </is>
      </c>
      <c r="AB26" s="602" t="n"/>
      <c r="AC26" s="602" t="n"/>
      <c r="AD26" s="602" t="n"/>
      <c r="AE26" s="602" t="n"/>
      <c r="AF26" s="602" t="n"/>
      <c r="AG26" s="602" t="n"/>
      <c r="AH26" s="602" t="n"/>
      <c r="AI26" s="602" t="n"/>
      <c r="AJ26" s="614" t="n"/>
    </row>
    <row r="27" ht="24.9" customHeight="1">
      <c r="A27" s="534" t="inlineStr">
        <is>
          <t>*** No depletion correction needed if DO depletion in the blank is less than 0.2 mg/l</t>
        </is>
      </c>
      <c r="J27" s="786">
        <f>$D$21</f>
        <v/>
      </c>
      <c r="K27" s="569" t="n"/>
      <c r="L27" s="786">
        <f>IFERROR(IF($F$21="",$H$21,$F$21),"")</f>
        <v/>
      </c>
      <c r="M27" s="569" t="n"/>
      <c r="Q27" s="225" t="inlineStr">
        <is>
          <t>Glutamic</t>
        </is>
      </c>
      <c r="R27" s="669" t="n">
        <v>75</v>
      </c>
      <c r="T27" s="602" t="inlineStr">
        <is>
          <t>Calcium chloride</t>
        </is>
      </c>
      <c r="U27" s="602" t="n"/>
      <c r="V27" s="602" t="n"/>
      <c r="W27" s="602" t="n"/>
      <c r="X27" s="602" t="n"/>
      <c r="Y27" s="602" t="inlineStr">
        <is>
          <t>To 100</t>
        </is>
      </c>
      <c r="Z27" s="602" t="n"/>
      <c r="AA27" s="602" t="n"/>
      <c r="AB27" s="602" t="inlineStr">
        <is>
          <t>2.75  g</t>
        </is>
      </c>
      <c r="AC27" s="602" t="n"/>
      <c r="AD27" s="602" t="n"/>
      <c r="AE27" s="602" t="n"/>
      <c r="AF27" s="602" t="n"/>
      <c r="AG27" s="602" t="n"/>
      <c r="AH27" s="602" t="n"/>
      <c r="AI27" s="602" t="n"/>
      <c r="AJ27" s="614" t="n"/>
    </row>
    <row r="28" ht="24.9" customHeight="1">
      <c r="A28" s="534" t="inlineStr">
        <is>
          <t xml:space="preserve">     DW = Dilution Water</t>
        </is>
      </c>
      <c r="I28" s="19" t="inlineStr">
        <is>
          <t>Manometric</t>
        </is>
      </c>
      <c r="J28" s="690" t="n"/>
      <c r="K28" s="537" t="n"/>
      <c r="L28" s="690" t="n"/>
      <c r="M28" s="537" t="n"/>
      <c r="T28" s="602" t="inlineStr">
        <is>
          <t>Glucose–glutamic acid at  &lt; 6°C</t>
        </is>
      </c>
      <c r="U28" s="602" t="n"/>
      <c r="V28" s="602" t="n"/>
      <c r="W28" s="602" t="n"/>
      <c r="X28" s="602" t="n"/>
      <c r="Y28" s="602" t="inlineStr">
        <is>
          <t>To 1000</t>
        </is>
      </c>
      <c r="Z28" s="602" t="n"/>
      <c r="AA28" s="602" t="n"/>
      <c r="AB28" s="602" t="n"/>
      <c r="AC28" s="602" t="inlineStr">
        <is>
          <t>0.15 g</t>
        </is>
      </c>
      <c r="AD28" s="602" t="inlineStr">
        <is>
          <t>0.15 g</t>
        </is>
      </c>
      <c r="AE28" s="602" t="n"/>
      <c r="AF28" s="602" t="n"/>
      <c r="AG28" s="602" t="n"/>
      <c r="AH28" s="602" t="n"/>
      <c r="AI28" s="602" t="n"/>
      <c r="AJ28" s="614" t="n"/>
    </row>
    <row r="29" ht="24.9" customHeight="1">
      <c r="B29" s="676" t="inlineStr">
        <is>
          <t>Tanks V</t>
        </is>
      </c>
      <c r="C29" s="676" t="inlineStr">
        <is>
          <t>Flow</t>
        </is>
      </c>
      <c r="D29" s="676" t="inlineStr">
        <is>
          <t>MLSS</t>
        </is>
      </c>
      <c r="E29" s="676" t="inlineStr">
        <is>
          <t>VSS%</t>
        </is>
      </c>
      <c r="F29" s="676" t="inlineStr">
        <is>
          <t>Clarifier</t>
        </is>
      </c>
      <c r="J29" s="787">
        <f>IFERROR(IF(AND(D17&lt;2,E17&lt;2,J28=""),"ND",IF(J28="",J27,J28)),"")</f>
        <v/>
      </c>
      <c r="K29" s="569" t="n"/>
      <c r="L29" s="787">
        <f>IFERROR(IF(AND(F17&lt;2,G17&lt;2,H17&lt;2,I17&lt;2,L28=""),"ND",IF(L28="",L27,L28)),"")</f>
        <v/>
      </c>
      <c r="M29" s="569" t="n"/>
      <c r="T29" s="602" t="inlineStr">
        <is>
          <t>Acid solution 1 N</t>
        </is>
      </c>
      <c r="U29" s="602" t="n"/>
      <c r="V29" s="602" t="n"/>
      <c r="W29" s="602" t="n"/>
      <c r="X29" s="602" t="n"/>
      <c r="Y29" s="602" t="inlineStr">
        <is>
          <t>To 100</t>
        </is>
      </c>
      <c r="Z29" s="602" t="n"/>
      <c r="AA29" s="602" t="n"/>
      <c r="AB29" s="602" t="n"/>
      <c r="AC29" s="602" t="n"/>
      <c r="AD29" s="602" t="n"/>
      <c r="AE29" s="602" t="n"/>
      <c r="AF29" s="602" t="n"/>
      <c r="AG29" s="602" t="inlineStr">
        <is>
          <t>2.8 ml</t>
        </is>
      </c>
      <c r="AH29" s="602" t="n"/>
      <c r="AI29" s="602" t="n"/>
    </row>
    <row r="30" ht="24.9" customHeight="1">
      <c r="B30" s="156">
        <f>IFERROR(8000*(B31/2),"")</f>
        <v/>
      </c>
      <c r="C30" s="157" t="n">
        <v>15000</v>
      </c>
      <c r="D30" s="156">
        <f>IFERROR(IF(TSS!F27="",(Main!$E$25)*1.1,TSS!F27),"")</f>
        <v/>
      </c>
      <c r="E30" s="258">
        <f>IFERROR(IF(TSS!G21="",0.7,TSS!G21),"")</f>
        <v/>
      </c>
      <c r="F30" s="270">
        <f>IFERROR(B59*D59,"")</f>
        <v/>
      </c>
      <c r="N30" s="633" t="inlineStr">
        <is>
          <t>رجوع</t>
        </is>
      </c>
      <c r="O30" s="582" t="n"/>
      <c r="T30" s="602" t="inlineStr">
        <is>
          <t>Alkali solution 1 N</t>
        </is>
      </c>
      <c r="U30" s="602" t="n"/>
      <c r="V30" s="602" t="n"/>
      <c r="W30" s="602" t="n"/>
      <c r="X30" s="602" t="n"/>
      <c r="Y30" s="602" t="inlineStr">
        <is>
          <t>To 100</t>
        </is>
      </c>
      <c r="Z30" s="602" t="n"/>
      <c r="AA30" s="602" t="n"/>
      <c r="AB30" s="602" t="n"/>
      <c r="AC30" s="602" t="n"/>
      <c r="AD30" s="602" t="n"/>
      <c r="AE30" s="602" t="n"/>
      <c r="AF30" s="602" t="n"/>
      <c r="AG30" s="602" t="n"/>
      <c r="AH30" s="602" t="inlineStr">
        <is>
          <t>4 g</t>
        </is>
      </c>
      <c r="AI30" s="602" t="n"/>
    </row>
    <row r="31" ht="24.9" customHeight="1">
      <c r="B31" s="294">
        <f>IFERROR(COUNT(Main!G23:H24),"")</f>
        <v/>
      </c>
      <c r="C31" s="12" t="n"/>
      <c r="D31" s="12" t="n"/>
      <c r="E31" s="155" t="n"/>
      <c r="F31" s="155" t="n"/>
      <c r="I31" s="582">
        <f>IFERROR((J29-L29)*(D30/J29),"")</f>
        <v/>
      </c>
      <c r="N31" s="582" t="n"/>
      <c r="O31" s="582" t="n"/>
      <c r="T31" s="602" t="inlineStr">
        <is>
          <t>Phosphate buffer solution</t>
        </is>
      </c>
      <c r="U31" s="602" t="n"/>
      <c r="V31" s="602" t="inlineStr">
        <is>
          <t>4.25 g</t>
        </is>
      </c>
      <c r="W31" s="602" t="n"/>
      <c r="X31" s="602" t="n"/>
      <c r="Y31" s="602" t="inlineStr">
        <is>
          <t>To 100</t>
        </is>
      </c>
      <c r="Z31" s="602" t="n">
        <v>0.17</v>
      </c>
      <c r="AA31" s="602" t="n"/>
      <c r="AB31" s="602" t="n"/>
      <c r="AC31" s="602" t="n"/>
      <c r="AD31" s="602" t="n"/>
      <c r="AE31" s="602" t="n"/>
      <c r="AF31" s="602" t="n"/>
      <c r="AG31" s="602" t="n"/>
      <c r="AH31" s="602" t="n"/>
      <c r="AI31" s="602" t="n"/>
    </row>
    <row r="32" ht="24.9" customHeight="1">
      <c r="B32" s="676" t="inlineStr">
        <is>
          <t>F/M</t>
        </is>
      </c>
      <c r="C32" s="158">
        <f>IFERROR($J$29*$C$30/($B$30*(IF('TS &amp; VS'!G21="",$D$30*$E$30,'TS &amp; VS'!G21)+$F$30)),"")</f>
        <v/>
      </c>
      <c r="D32" s="12" t="inlineStr">
        <is>
          <t>0.05 / 0.15</t>
        </is>
      </c>
      <c r="N32" s="582" t="n"/>
      <c r="O32" s="582" t="n"/>
      <c r="T32" s="602" t="inlineStr">
        <is>
          <t>Allylthiourea</t>
        </is>
      </c>
      <c r="U32" s="602" t="n"/>
      <c r="V32" s="602" t="n"/>
      <c r="W32" s="602" t="n"/>
      <c r="X32" s="602" t="n"/>
      <c r="Y32" s="602" t="n">
        <v>50</v>
      </c>
      <c r="Z32" s="602" t="n"/>
      <c r="AA32" s="602" t="n"/>
      <c r="AB32" s="602" t="n"/>
      <c r="AC32" s="602" t="n"/>
      <c r="AD32" s="602" t="n"/>
      <c r="AE32" s="602" t="n"/>
      <c r="AF32" s="602" t="inlineStr">
        <is>
          <t>0.1 g</t>
        </is>
      </c>
      <c r="AG32" s="602" t="n"/>
      <c r="AH32" s="602" t="n"/>
      <c r="AI32" s="602" t="n"/>
    </row>
    <row r="33" ht="24.9" customHeight="1">
      <c r="B33" s="367" t="n"/>
      <c r="C33" s="367" t="n"/>
      <c r="D33" s="367" t="n"/>
      <c r="E33" s="367" t="n"/>
      <c r="F33" s="367" t="n"/>
      <c r="G33" s="367" t="n"/>
      <c r="N33" s="582" t="n"/>
      <c r="O33" s="582" t="n"/>
      <c r="P33" s="676" t="inlineStr">
        <is>
          <t>Scale</t>
        </is>
      </c>
      <c r="T33" s="19" t="n"/>
    </row>
    <row r="34" ht="24.9" customHeight="1">
      <c r="B34" s="367" t="n"/>
      <c r="C34" s="676" t="inlineStr">
        <is>
          <t>m3/h</t>
        </is>
      </c>
      <c r="D34" s="676" t="inlineStr">
        <is>
          <t>Operating</t>
        </is>
      </c>
      <c r="E34" s="676" t="inlineStr">
        <is>
          <t>m3/day</t>
        </is>
      </c>
      <c r="F34" s="676" t="inlineStr">
        <is>
          <t>SS</t>
        </is>
      </c>
      <c r="G34" s="676" t="inlineStr">
        <is>
          <t>Q*SS</t>
        </is>
      </c>
      <c r="H34" s="676" t="inlineStr">
        <is>
          <t>Qss %</t>
        </is>
      </c>
      <c r="L34" s="676" t="inlineStr">
        <is>
          <t>WAS on</t>
        </is>
      </c>
      <c r="M34" s="160" t="inlineStr">
        <is>
          <t>1</t>
        </is>
      </c>
      <c r="N34" s="160">
        <f>(M34/10)*P34</f>
        <v/>
      </c>
      <c r="O34" s="160">
        <f>24*60/(N34+N35)</f>
        <v/>
      </c>
      <c r="P34" s="369" t="inlineStr">
        <is>
          <t>60</t>
        </is>
      </c>
    </row>
    <row r="35" ht="20.1" customHeight="1">
      <c r="B35" s="676" t="inlineStr">
        <is>
          <t>WAS</t>
        </is>
      </c>
      <c r="C35" s="159" t="n">
        <v>43.2</v>
      </c>
      <c r="D35" s="788">
        <f>TEXT(TRUNC($O$35,0)&amp;":"&amp;INT(($O$35-TRUNC($O$35,0))*60),"hh:mm")</f>
        <v/>
      </c>
      <c r="E35" s="160">
        <f>C35*$O$35</f>
        <v/>
      </c>
      <c r="F35" s="160">
        <f>IFERROR(IF(TSS!G27="",(Main!E26)*1.1,TSS!G27),"")</f>
        <v/>
      </c>
      <c r="G35" s="161">
        <f>IFERROR($E$35*$F$35/1000,"")</f>
        <v/>
      </c>
      <c r="H35" s="317">
        <f>G35/(B51*O38)</f>
        <v/>
      </c>
      <c r="L35" s="676" t="inlineStr">
        <is>
          <t>WAS off</t>
        </is>
      </c>
      <c r="M35" s="160" t="inlineStr">
        <is>
          <t>10</t>
        </is>
      </c>
      <c r="N35" s="160">
        <f>(M35/10)*P35</f>
        <v/>
      </c>
      <c r="O35" s="314">
        <f>(O34*N34)/60</f>
        <v/>
      </c>
      <c r="P35" s="369" t="inlineStr">
        <is>
          <t>10</t>
        </is>
      </c>
    </row>
    <row r="36" ht="20.1" customHeight="1">
      <c r="B36" s="676" t="inlineStr">
        <is>
          <t>Effluent</t>
        </is>
      </c>
      <c r="C36" s="367" t="n"/>
      <c r="D36" s="367" t="n"/>
      <c r="E36" s="160">
        <f>$C$30</f>
        <v/>
      </c>
      <c r="F36" s="161">
        <f>IF(Main!$H$18="",1,Main!$H$18)</f>
        <v/>
      </c>
      <c r="G36" s="161">
        <f>IFERROR(E36*F36/1000,"")</f>
        <v/>
      </c>
      <c r="L36" s="676" t="inlineStr">
        <is>
          <t>WAS/RAS</t>
        </is>
      </c>
      <c r="M36" s="740">
        <f>O35/O38</f>
        <v/>
      </c>
      <c r="N36" s="97">
        <f>IFERROR(IF(M36&lt;15%,TRUE,FALSE),"")</f>
        <v/>
      </c>
      <c r="O36" s="369" t="n"/>
      <c r="P36" s="367" t="n"/>
      <c r="AA36" s="633" t="inlineStr">
        <is>
          <t>رجوع</t>
        </is>
      </c>
      <c r="AB36" s="582" t="n"/>
    </row>
    <row r="37" ht="20.1" customHeight="1">
      <c r="B37" s="676" t="inlineStr">
        <is>
          <t>Thick</t>
        </is>
      </c>
      <c r="C37" s="160">
        <f>36*2</f>
        <v/>
      </c>
      <c r="D37" s="322">
        <f>IFERROR(TEXT(TRUNC($O$40,0)&amp;":"&amp;INT(($O$40-TRUNC($O$40,0))*60),"hh:mm"),"")</f>
        <v/>
      </c>
      <c r="E37" s="322">
        <f>IFERROR(C37*O40,"")</f>
        <v/>
      </c>
      <c r="F37" s="160">
        <f>IFERROR(IF('TS &amp; VS'!$F$21="",(Main!$E$27)*1.18,'TS &amp; VS'!$F$21),"")</f>
        <v/>
      </c>
      <c r="G37" s="367" t="n"/>
      <c r="L37" s="676" t="inlineStr">
        <is>
          <t>RAS on</t>
        </is>
      </c>
      <c r="M37" s="160" t="inlineStr">
        <is>
          <t>5</t>
        </is>
      </c>
      <c r="N37" s="160">
        <f>(M37/10)*P37</f>
        <v/>
      </c>
      <c r="O37" s="160">
        <f>24*60/(N37+N38)</f>
        <v/>
      </c>
      <c r="P37" s="369" t="inlineStr">
        <is>
          <t>6</t>
        </is>
      </c>
      <c r="AA37" s="582" t="n"/>
      <c r="AB37" s="582" t="n"/>
    </row>
    <row r="38" ht="20.1" customHeight="1">
      <c r="A38" s="246" t="inlineStr">
        <is>
          <t xml:space="preserve">Reagent </t>
        </is>
      </c>
      <c r="B38" s="367" t="n"/>
      <c r="C38" s="367" t="n"/>
      <c r="D38" s="367" t="n"/>
      <c r="E38" s="367" t="n"/>
      <c r="F38" s="367" t="n"/>
      <c r="G38" s="367" t="n"/>
      <c r="L38" s="676" t="inlineStr">
        <is>
          <t>RAS off</t>
        </is>
      </c>
      <c r="M38" s="160" t="inlineStr">
        <is>
          <t>3</t>
        </is>
      </c>
      <c r="N38" s="160">
        <f>(M38/10)*P38</f>
        <v/>
      </c>
      <c r="O38" s="314">
        <f>(O37*N37)/60</f>
        <v/>
      </c>
      <c r="P38" s="369" t="inlineStr">
        <is>
          <t>2</t>
        </is>
      </c>
      <c r="AA38" s="582" t="n"/>
      <c r="AB38" s="582" t="n"/>
    </row>
    <row r="39" ht="20.1" customHeight="1">
      <c r="B39" s="367" t="n"/>
      <c r="C39" s="676" t="inlineStr">
        <is>
          <t>MCRT</t>
        </is>
      </c>
      <c r="D39" s="789">
        <f>IFERROR(($B$30+$F$30)*$D$30/(($G$35*IF('TS &amp; VS'!H21="",F35,'TS &amp; VS'!H21))+G36),"")</f>
        <v/>
      </c>
      <c r="E39" s="162" t="inlineStr">
        <is>
          <t>10   ; 30</t>
        </is>
      </c>
      <c r="F39" s="367" t="n"/>
      <c r="G39" s="367" t="n"/>
      <c r="L39" s="676" t="inlineStr">
        <is>
          <t>Thick on</t>
        </is>
      </c>
      <c r="M39" s="159" t="n">
        <v>8</v>
      </c>
      <c r="N39" s="160">
        <f>M39*IF(P39="min",1,60)</f>
        <v/>
      </c>
      <c r="O39" s="160">
        <f>24*60/(N39+N40)</f>
        <v/>
      </c>
      <c r="P39" s="367" t="inlineStr">
        <is>
          <t>min</t>
        </is>
      </c>
      <c r="AA39" s="582" t="n"/>
      <c r="AB39" s="582" t="n"/>
    </row>
    <row r="40" ht="20.1" customHeight="1">
      <c r="A40" s="259" t="n"/>
      <c r="B40" s="367" t="n"/>
      <c r="C40" s="367" t="n"/>
      <c r="D40" s="367" t="n"/>
      <c r="E40" s="367" t="n"/>
      <c r="F40" s="367" t="n"/>
      <c r="G40" s="367" t="n"/>
      <c r="H40" s="106" t="n"/>
      <c r="L40" s="676" t="inlineStr">
        <is>
          <t>Thick off</t>
        </is>
      </c>
      <c r="M40" s="159" t="n">
        <v>4</v>
      </c>
      <c r="N40" s="160">
        <f>M40*IF(P40="min",1,60)</f>
        <v/>
      </c>
      <c r="O40" s="314">
        <f>IF(Main!E27="","",IF(Main!E27&lt;=30000,20,IF(Main!E27&lt;=40000,30,45)))</f>
        <v/>
      </c>
      <c r="P40" s="367" t="inlineStr">
        <is>
          <t>hr</t>
        </is>
      </c>
    </row>
    <row r="41" ht="20.1" customHeight="1">
      <c r="B41" s="367" t="n"/>
      <c r="C41" s="367" t="n"/>
      <c r="D41" s="367" t="n"/>
      <c r="E41" s="267" t="n"/>
      <c r="F41" s="367" t="n"/>
      <c r="G41" s="367" t="n"/>
    </row>
    <row r="42" ht="20.1" customHeight="1">
      <c r="A42" s="155" t="n"/>
      <c r="B42" s="260" t="inlineStr">
        <is>
          <t>Q (ras)</t>
        </is>
      </c>
      <c r="C42" s="790">
        <f>IFERROR($C$30/(((($D$30/10000)*Main!$G$25)-1)*0.01),"")</f>
        <v/>
      </c>
      <c r="D42" s="263" t="inlineStr">
        <is>
          <t>ON</t>
        </is>
      </c>
      <c r="E42" s="266">
        <f>(C43/24)*10</f>
        <v/>
      </c>
      <c r="F42" s="263" t="inlineStr">
        <is>
          <t>OFF</t>
        </is>
      </c>
      <c r="G42" s="266">
        <f>24-C43</f>
        <v/>
      </c>
      <c r="H42" s="266">
        <f>(G42/24)*10</f>
        <v/>
      </c>
    </row>
    <row r="43" ht="20.1" customHeight="1">
      <c r="B43" s="676" t="inlineStr">
        <is>
          <t>RAS time</t>
        </is>
      </c>
      <c r="C43" s="268">
        <f>IFERROR(IF((C42/504)&gt;24,24,(C42/504)),"")</f>
        <v/>
      </c>
      <c r="D43" s="266">
        <f>TEXT(TRUNC($O$38,0)&amp;":"&amp;INT(($O$38-TRUNC($O$38,0))*60),"hh:mm")</f>
        <v/>
      </c>
      <c r="E43" s="266">
        <f>10-E42</f>
        <v/>
      </c>
      <c r="H43" s="266">
        <f>10-H42</f>
        <v/>
      </c>
    </row>
    <row r="45">
      <c r="B45" s="676" t="inlineStr">
        <is>
          <t>WAS desired  m3</t>
        </is>
      </c>
      <c r="C45" s="537" t="n"/>
      <c r="D45" s="271">
        <f>IFERROR(((($D$30*(($B$30+$F$30)/1000))/20)-$G$36)/(TSS!E20/1000),"")</f>
        <v/>
      </c>
      <c r="E45" s="263" t="inlineStr">
        <is>
          <t>ON</t>
        </is>
      </c>
      <c r="F45" s="367" t="n"/>
      <c r="G45" s="367" t="n"/>
      <c r="H45" s="263" t="inlineStr">
        <is>
          <t>OFF</t>
        </is>
      </c>
      <c r="I45" s="276" t="inlineStr">
        <is>
          <t>Scale</t>
        </is>
      </c>
    </row>
    <row r="46">
      <c r="B46" s="262" t="inlineStr">
        <is>
          <t>Was time</t>
        </is>
      </c>
      <c r="D46" s="161">
        <f>IFERROR(D45/C35,"")</f>
        <v/>
      </c>
      <c r="E46" s="266">
        <f>IFERROR(IF(D46&gt;24,10,D46*10/24),"")</f>
        <v/>
      </c>
      <c r="F46" s="264" t="inlineStr">
        <is>
          <t>was OFF</t>
        </is>
      </c>
      <c r="G46" s="266">
        <f>IFERROR(IF(D46&lt;24,24-D46,"0"),"")</f>
        <v/>
      </c>
      <c r="H46" s="266">
        <f>IFERROR(G46*10/24,"")</f>
        <v/>
      </c>
      <c r="I46" s="266" t="n">
        <v>10</v>
      </c>
      <c r="M46" s="19" t="n"/>
    </row>
    <row r="47">
      <c r="B47" s="261" t="inlineStr">
        <is>
          <t>Kg O2</t>
        </is>
      </c>
      <c r="D47" s="269">
        <f>IFERROR(((0.55*C32)+0.15)*((D30*0.62)/1000*B30),"")</f>
        <v/>
      </c>
      <c r="E47" s="265" t="inlineStr">
        <is>
          <t>Kg/d</t>
        </is>
      </c>
      <c r="H47" s="277">
        <f>(G46*100)/(24*60)</f>
        <v/>
      </c>
      <c r="I47" s="266" t="n">
        <v>60</v>
      </c>
    </row>
    <row r="48">
      <c r="B48" s="676" t="inlineStr">
        <is>
          <t>Air volume</t>
        </is>
      </c>
      <c r="C48" s="537" t="n"/>
      <c r="D48" s="791">
        <f>IFERROR((D47)/(1.2*0.232),"")</f>
        <v/>
      </c>
      <c r="E48" s="265" t="inlineStr">
        <is>
          <t>m3/d</t>
        </is>
      </c>
    </row>
    <row r="50" ht="15.6" customHeight="1">
      <c r="A50" s="257" t="inlineStr">
        <is>
          <t>WAS</t>
        </is>
      </c>
      <c r="B50" s="257" t="n">
        <v>43.2</v>
      </c>
      <c r="C50" s="257" t="inlineStr">
        <is>
          <t>m3/hr</t>
        </is>
      </c>
    </row>
    <row r="51" ht="15.6" customHeight="1">
      <c r="A51" s="257" t="inlineStr">
        <is>
          <t>RAS</t>
        </is>
      </c>
      <c r="B51" s="257" t="n">
        <v>504</v>
      </c>
      <c r="C51" s="257" t="inlineStr">
        <is>
          <t>m3/hr</t>
        </is>
      </c>
    </row>
    <row r="54">
      <c r="K54" s="274" t="n"/>
    </row>
    <row r="56" ht="15.6" customHeight="1">
      <c r="A56" s="257" t="inlineStr">
        <is>
          <t>Sludge retention time</t>
        </is>
      </c>
      <c r="B56" s="676" t="inlineStr">
        <is>
          <t>SRT</t>
        </is>
      </c>
      <c r="C56" s="161">
        <f>IFERROR((B30*D30/1000)/G35,"")</f>
        <v/>
      </c>
      <c r="D56" s="367" t="inlineStr">
        <is>
          <t xml:space="preserve"> days</t>
        </is>
      </c>
      <c r="J56" s="19" t="n"/>
    </row>
    <row r="57" ht="15.6" customHeight="1">
      <c r="A57" s="257" t="inlineStr">
        <is>
          <t>Sludge age</t>
        </is>
      </c>
      <c r="B57" s="676" t="inlineStr">
        <is>
          <t>SA</t>
        </is>
      </c>
      <c r="C57" s="161">
        <f>IFERROR(((B30/1000)*D30)/(TSS!E27*(C30/1000)),"")</f>
        <v/>
      </c>
      <c r="D57" s="367" t="inlineStr">
        <is>
          <t xml:space="preserve"> days</t>
        </is>
      </c>
    </row>
    <row r="58" ht="15.6" customHeight="1">
      <c r="A58" s="344" t="inlineStr">
        <is>
          <t>Clarifier Area</t>
        </is>
      </c>
      <c r="B58" s="676" t="n">
        <v>530.66</v>
      </c>
      <c r="C58" s="19" t="inlineStr">
        <is>
          <t>m2</t>
        </is>
      </c>
      <c r="D58" s="367" t="n">
        <v>2</v>
      </c>
    </row>
    <row r="59" ht="15.6" customHeight="1">
      <c r="A59" s="344" t="inlineStr">
        <is>
          <t>Clarifier volume</t>
        </is>
      </c>
      <c r="B59" s="370" t="n">
        <v>1327.94</v>
      </c>
      <c r="C59" s="19" t="inlineStr">
        <is>
          <t>m3</t>
        </is>
      </c>
      <c r="D59" s="367" t="n">
        <v>2</v>
      </c>
    </row>
    <row r="62" ht="16.2" customHeight="1">
      <c r="A62" s="344" t="inlineStr">
        <is>
          <t>Clarifier SOR</t>
        </is>
      </c>
      <c r="B62" s="370">
        <f>IFERROR(IF(D30=0,"",C30/((D58*B58)*24)),"")</f>
        <v/>
      </c>
      <c r="C62" s="400" t="inlineStr">
        <is>
          <t>m3/m2h</t>
        </is>
      </c>
      <c r="D62" s="401" t="inlineStr">
        <is>
          <t>Less than 0.68</t>
        </is>
      </c>
    </row>
    <row r="63" ht="16.2" customHeight="1">
      <c r="A63" s="344" t="inlineStr">
        <is>
          <t>Thickenner SOR</t>
        </is>
      </c>
      <c r="B63" s="370">
        <f>IFERROR(IF(G35=0,"",G35/140.9546),"")</f>
        <v/>
      </c>
      <c r="C63" s="400" t="inlineStr">
        <is>
          <t>Kg D.S/m2d</t>
        </is>
      </c>
      <c r="D63" s="401" t="inlineStr">
        <is>
          <t>Less than 20</t>
        </is>
      </c>
    </row>
    <row r="64" ht="16.2" customHeight="1">
      <c r="A64" s="344" t="inlineStr">
        <is>
          <t>Clarifier SOR for TSS</t>
        </is>
      </c>
      <c r="B64" s="370">
        <f>IFERROR(IF(D30=0,"",(D30*C30/1000)/((D58*B58)*24)),"")</f>
        <v/>
      </c>
      <c r="C64" s="400" t="inlineStr">
        <is>
          <t>Kg TSS/m2h</t>
        </is>
      </c>
      <c r="D64" s="401" t="inlineStr">
        <is>
          <t>Less than 2.7</t>
        </is>
      </c>
    </row>
    <row r="74">
      <c r="B74" s="676" t="inlineStr">
        <is>
          <t>WAS</t>
        </is>
      </c>
      <c r="C74" s="322">
        <f>TEXT(TRUNC((($C$30*(100-0.8)/10000)/43.2),0)&amp;":"&amp;INT(((($C$30*(100-0.8)/10000)/43.2)-TRUNC((($C$30*(100-0.8)/10000)/43.2),0))*60),"hh:mm")</f>
        <v/>
      </c>
      <c r="D74" s="367" t="inlineStr">
        <is>
          <t>hh:mm</t>
        </is>
      </c>
    </row>
    <row r="75">
      <c r="B75" s="676" t="inlineStr">
        <is>
          <t>Thickenner</t>
        </is>
      </c>
      <c r="C75" s="161">
        <f>($C$30*(100-(Main!E27/10000))/10000)/72</f>
        <v/>
      </c>
      <c r="D75" s="367" t="inlineStr">
        <is>
          <t>hh:mm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6mXcmW5j8NfDilpWJ7XQTw==" formatRows="1" sort="1" spinCount="100000" hashValue="Ir4Ied7HUp49t6y2UqgQgnGidn/vqdiGrynTA233gjU0BVJDjZOboboNfA7/JYlnR26GbGpkLBpN5O7mnUlTFw=="/>
  <mergeCells count="45">
    <mergeCell ref="A5:P5"/>
    <mergeCell ref="B13:C14"/>
    <mergeCell ref="F11:G11"/>
    <mergeCell ref="J29:K29"/>
    <mergeCell ref="L21:O21"/>
    <mergeCell ref="AA36:AB39"/>
    <mergeCell ref="J9:L9"/>
    <mergeCell ref="N8:P8"/>
    <mergeCell ref="J28:K28"/>
    <mergeCell ref="L28:M28"/>
    <mergeCell ref="L11:O11"/>
    <mergeCell ref="D21:E21"/>
    <mergeCell ref="F21:G21"/>
    <mergeCell ref="B48:C48"/>
    <mergeCell ref="H21:I21"/>
    <mergeCell ref="F24:G24"/>
    <mergeCell ref="B11:C11"/>
    <mergeCell ref="J6:K6"/>
    <mergeCell ref="J24:K24"/>
    <mergeCell ref="D11:E11"/>
    <mergeCell ref="P23:P24"/>
    <mergeCell ref="J27:K27"/>
    <mergeCell ref="L23:M23"/>
    <mergeCell ref="N23:O23"/>
    <mergeCell ref="B18:C24"/>
    <mergeCell ref="N6:P6"/>
    <mergeCell ref="J26:K26"/>
    <mergeCell ref="H10:K10"/>
    <mergeCell ref="L26:M26"/>
    <mergeCell ref="H11:I11"/>
    <mergeCell ref="L29:M29"/>
    <mergeCell ref="J11:K11"/>
    <mergeCell ref="F23:G23"/>
    <mergeCell ref="N30:O33"/>
    <mergeCell ref="L24:O24"/>
    <mergeCell ref="N7:P7"/>
    <mergeCell ref="J21:K21"/>
    <mergeCell ref="D24:E24"/>
    <mergeCell ref="H24:I24"/>
    <mergeCell ref="B45:C45"/>
    <mergeCell ref="D23:E23"/>
    <mergeCell ref="H23:I23"/>
    <mergeCell ref="L27:M27"/>
    <mergeCell ref="J23:K23"/>
    <mergeCell ref="L10:O10"/>
  </mergeCells>
  <conditionalFormatting sqref="C30">
    <cfRule type="iconSet" priority="9">
      <iconSet iconSet="3Arrows">
        <cfvo type="percent" val="0"/>
        <cfvo type="num" val="0.05"/>
        <cfvo type="num" val="0.3"/>
      </iconSet>
    </cfRule>
    <cfRule type="iconSet" priority="13">
      <iconSet iconSet="3Arrows">
        <cfvo type="percent" val="0"/>
        <cfvo type="num" val="0.05"/>
        <cfvo type="num" val="0.3"/>
      </iconSet>
    </cfRule>
  </conditionalFormatting>
  <conditionalFormatting sqref="C40">
    <cfRule type="iconSet" priority="8">
      <iconSet iconSet="3Arrows">
        <cfvo type="percent" val="0"/>
        <cfvo type="num" val="10"/>
        <cfvo type="num" val="30"/>
      </iconSet>
    </cfRule>
    <cfRule type="iconSet" priority="12">
      <iconSet iconSet="3Arrows">
        <cfvo type="percent" val="0"/>
        <cfvo type="num" val="10"/>
        <cfvo type="num" val="30"/>
      </iconSet>
    </cfRule>
  </conditionalFormatting>
  <conditionalFormatting sqref="C32">
    <cfRule type="iconSet" priority="7">
      <iconSet iconSet="3Arrows">
        <cfvo type="percent" val="0"/>
        <cfvo type="num" val="0.05"/>
        <cfvo type="num" val="0.3"/>
      </iconSet>
    </cfRule>
    <cfRule type="iconSet" priority="11">
      <iconSet iconSet="3Arrows">
        <cfvo type="percent" val="0"/>
        <cfvo type="num" val="0.05"/>
        <cfvo type="num" val="0.3"/>
      </iconSet>
    </cfRule>
  </conditionalFormatting>
  <conditionalFormatting sqref="D39">
    <cfRule type="iconSet" priority="6">
      <iconSet iconSet="3Arrows">
        <cfvo type="percent" val="0"/>
        <cfvo type="num" val="10"/>
        <cfvo type="num" val="30"/>
      </iconSet>
    </cfRule>
    <cfRule type="iconSet" priority="10">
      <iconSet iconSet="3Arrows">
        <cfvo type="percent" val="0"/>
        <cfvo type="num" val="10"/>
        <cfvo type="num" val="30"/>
      </iconSet>
    </cfRule>
  </conditionalFormatting>
  <conditionalFormatting sqref="C42">
    <cfRule type="iconSet" priority="4">
      <iconSet iconSet="3Arrows">
        <cfvo type="percent" val="0"/>
        <cfvo type="num" val="10"/>
        <cfvo type="num" val="30"/>
      </iconSet>
    </cfRule>
    <cfRule type="iconSet" priority="5">
      <iconSet iconSet="3Arrows">
        <cfvo type="percent" val="0"/>
        <cfvo type="num" val="10"/>
        <cfvo type="num" val="30"/>
      </iconSet>
    </cfRule>
  </conditionalFormatting>
  <hyperlinks>
    <hyperlink ref="P11" location="Seed!A1" display="Seeding"/>
    <hyperlink ref="N30" location="Main!A1" display="رجوع"/>
    <hyperlink ref="AA36" location="'BOD5'!Print_Area" display="رجوع"/>
    <hyperlink ref="A38" location="'BOD5'!AM39" display="Reagent "/>
  </hyperlinks>
  <pageMargins left="0.748030402449694" right="0.748030402449694" top="0.984251968503937" bottom="0.984251968503937" header="0.511809930008749" footer="0.511809930008749"/>
  <pageSetup orientation="landscape" paperSize="9" scale="69"/>
  <colBreaks count="1" manualBreakCount="1">
    <brk id="16" min="0" max="1048575" man="1"/>
  </colBreaks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8">
    <outlinePr summaryBelow="1" summaryRight="1"/>
    <pageSetUpPr fitToPage="1"/>
  </sheetPr>
  <dimension ref="A3:AA57"/>
  <sheetViews>
    <sheetView showWhiteSpace="0" topLeftCell="A17" zoomScaleNormal="100" zoomScaleSheetLayoutView="75" workbookViewId="0">
      <selection activeCell="O28" sqref="O28:P31"/>
    </sheetView>
  </sheetViews>
  <sheetFormatPr baseColWidth="8" defaultColWidth="9.109375" defaultRowHeight="13.2"/>
  <cols>
    <col width="6" customWidth="1" style="2" min="1" max="2"/>
    <col width="10.33203125" customWidth="1" style="2" min="3" max="3"/>
    <col width="7" bestFit="1" customWidth="1" style="2" min="4" max="4"/>
    <col width="8.109375" customWidth="1" style="2" min="5" max="5"/>
    <col width="7.6640625" customWidth="1" style="2" min="6" max="10"/>
    <col width="10.33203125" customWidth="1" style="2" min="11" max="11"/>
    <col hidden="1" width="7.33203125" customWidth="1" style="2" min="12" max="12"/>
    <col width="8.6640625" customWidth="1" style="2" min="13" max="13"/>
    <col width="15.109375" bestFit="1" customWidth="1" style="2" min="14" max="14"/>
    <col width="13" customWidth="1" style="2" min="15" max="15"/>
    <col width="13" bestFit="1" customWidth="1" style="2" min="16" max="16"/>
    <col width="9.109375" customWidth="1" style="2" min="17" max="21"/>
    <col width="33.5546875" customWidth="1" style="2" min="22" max="22"/>
    <col width="9.109375" customWidth="1" style="2" min="23" max="25"/>
    <col width="9.5546875" bestFit="1" customWidth="1" style="2" min="26" max="26"/>
    <col width="9.109375" customWidth="1" style="2" min="27" max="28"/>
    <col width="9.109375" customWidth="1" style="2" min="29" max="16384"/>
  </cols>
  <sheetData>
    <row r="3" ht="15" customHeight="1">
      <c r="A3" s="697" t="inlineStr">
        <is>
          <t>Holding Company</t>
        </is>
      </c>
      <c r="B3" s="534" t="n"/>
      <c r="C3" s="534" t="n"/>
      <c r="D3" s="534" t="n"/>
      <c r="E3" s="1" t="n"/>
      <c r="F3" s="1" t="n"/>
      <c r="G3" s="548" t="n"/>
      <c r="H3" s="534" t="n"/>
      <c r="I3" s="1" t="n"/>
      <c r="J3" s="1" t="n"/>
      <c r="K3" s="566" t="inlineStr">
        <is>
          <t xml:space="preserve">                        الشركة القابضة</t>
        </is>
      </c>
      <c r="L3" s="534" t="n"/>
      <c r="M3" s="534" t="n"/>
      <c r="N3" s="534" t="n"/>
    </row>
    <row r="4" ht="15" customHeight="1">
      <c r="A4" s="697" t="inlineStr">
        <is>
          <t>Fayoum drinking Water and Sanitation Company</t>
        </is>
      </c>
      <c r="B4" s="534" t="n"/>
      <c r="C4" s="534" t="n"/>
      <c r="D4" s="534" t="n"/>
      <c r="E4" s="534" t="n"/>
      <c r="F4" s="534" t="n"/>
      <c r="G4" s="534" t="n"/>
      <c r="H4" s="534" t="n"/>
      <c r="I4" s="566" t="inlineStr">
        <is>
          <t>شركة مياه الشرب والصرف الصحى بالفيوم</t>
        </is>
      </c>
      <c r="J4" s="534" t="n"/>
      <c r="K4" s="534" t="n"/>
      <c r="L4" s="534" t="n"/>
      <c r="M4" s="534" t="n"/>
      <c r="N4" s="534" t="n"/>
    </row>
    <row r="5" ht="15" customHeight="1">
      <c r="A5" s="700" t="n"/>
      <c r="B5" s="542" t="n"/>
      <c r="C5" s="542" t="n"/>
      <c r="D5" s="542" t="n"/>
      <c r="E5" s="542" t="n"/>
      <c r="F5" s="542" t="n"/>
      <c r="G5" s="542" t="n"/>
      <c r="H5" s="542" t="n"/>
      <c r="I5" s="551" t="inlineStr">
        <is>
          <t>قطاع المعامل - الادارة العامة لمعامل الصرف الصحى</t>
        </is>
      </c>
      <c r="J5" s="542" t="n"/>
      <c r="K5" s="542" t="n"/>
      <c r="L5" s="542" t="n"/>
      <c r="M5" s="542" t="n"/>
      <c r="N5" s="542" t="n"/>
    </row>
    <row r="6" ht="27" customHeight="1">
      <c r="A6" s="697" t="n"/>
      <c r="B6" s="697" t="n"/>
      <c r="C6" s="697" t="n"/>
      <c r="D6" s="697" t="n"/>
      <c r="E6" s="697" t="n"/>
      <c r="F6" s="697" t="n"/>
      <c r="G6" s="417" t="n"/>
      <c r="H6" s="417" t="n"/>
      <c r="I6" s="566" t="n"/>
      <c r="J6" s="417" t="n"/>
      <c r="K6" s="417" t="n"/>
      <c r="L6" s="417" t="n"/>
      <c r="M6" s="417" t="n"/>
      <c r="N6" s="417" t="n"/>
    </row>
    <row r="7" ht="20.4" customHeight="1">
      <c r="A7" s="699">
        <f>Main!A7</f>
        <v/>
      </c>
      <c r="B7" s="597" t="n"/>
      <c r="C7" s="597" t="n"/>
      <c r="D7" s="597" t="n"/>
      <c r="E7" s="597" t="n"/>
      <c r="F7" s="3" t="n"/>
      <c r="G7" s="3" t="n"/>
      <c r="H7" s="3" t="n"/>
      <c r="I7" s="3" t="n"/>
      <c r="J7" s="704">
        <f>Main!J7</f>
        <v/>
      </c>
      <c r="K7" s="597" t="n"/>
      <c r="L7" s="597" t="n"/>
      <c r="M7" s="597" t="n"/>
      <c r="N7" s="597" t="n"/>
    </row>
    <row r="8" ht="20.4" customHeight="1">
      <c r="A8" s="4" t="n"/>
      <c r="B8" s="4" t="n"/>
      <c r="C8" s="5" t="n"/>
      <c r="D8" s="5" t="n"/>
      <c r="E8" s="5" t="n"/>
      <c r="F8" s="6" t="n"/>
      <c r="G8" s="6" t="n"/>
      <c r="H8" s="6" t="n"/>
      <c r="I8" s="6" t="n"/>
      <c r="J8" s="7" t="n"/>
      <c r="K8" s="7" t="n"/>
      <c r="L8" s="8" t="n"/>
      <c r="M8" s="8" t="n"/>
      <c r="N8" s="8" t="n"/>
    </row>
    <row r="9" ht="24" customHeight="1" thickBot="1">
      <c r="A9" s="9" t="n"/>
      <c r="B9" s="9" t="n"/>
      <c r="C9" s="556" t="inlineStr">
        <is>
          <t>Turbidity comparison</t>
        </is>
      </c>
      <c r="D9" s="557" t="n"/>
      <c r="E9" s="557" t="n"/>
      <c r="F9" s="557" t="n"/>
      <c r="G9" s="557" t="n"/>
      <c r="H9" s="557" t="n"/>
      <c r="I9" s="557" t="n"/>
      <c r="J9" s="557" t="n"/>
      <c r="K9" s="557" t="n"/>
      <c r="L9" s="10" t="n"/>
      <c r="M9" s="10" t="n"/>
    </row>
    <row r="10" ht="24" customHeight="1" thickTop="1">
      <c r="A10" s="9" t="n"/>
      <c r="B10" s="9" t="n"/>
      <c r="C10" s="9" t="n"/>
      <c r="D10" s="11" t="n"/>
      <c r="E10" s="11" t="n"/>
      <c r="F10" s="11" t="n"/>
      <c r="G10" s="11" t="n"/>
      <c r="H10" s="11" t="n"/>
      <c r="I10" s="11" t="n"/>
      <c r="J10" s="10" t="n"/>
      <c r="K10" s="10" t="n"/>
      <c r="L10" s="10" t="n"/>
      <c r="M10" s="10" t="n"/>
    </row>
    <row r="11" ht="18" customHeight="1">
      <c r="A11" s="535" t="inlineStr">
        <is>
          <t xml:space="preserve">     Sampling Dat :</t>
        </is>
      </c>
      <c r="B11" s="534" t="n"/>
      <c r="C11" s="534" t="n"/>
      <c r="D11" s="702">
        <f>Main!D11</f>
        <v/>
      </c>
      <c r="E11" s="582" t="n"/>
      <c r="F11" s="12" t="n"/>
      <c r="G11" s="13" t="n"/>
      <c r="H11" s="535" t="inlineStr">
        <is>
          <t xml:space="preserve">            Analysis Date :</t>
        </is>
      </c>
      <c r="I11" s="534" t="n"/>
      <c r="J11" s="534" t="n"/>
      <c r="K11" s="702">
        <f>Main!K11</f>
        <v/>
      </c>
      <c r="L11" s="582" t="n"/>
      <c r="M11" s="582" t="n"/>
      <c r="N11" s="582" t="n"/>
    </row>
    <row r="12" ht="18" customHeight="1">
      <c r="A12" s="14" t="n"/>
      <c r="B12" s="15" t="n"/>
      <c r="C12" s="15" t="n"/>
      <c r="D12" s="15" t="n"/>
      <c r="E12" s="15" t="n"/>
      <c r="F12" s="15" t="n"/>
      <c r="G12" s="13" t="n"/>
      <c r="H12" s="16" t="n"/>
      <c r="I12" s="17" t="n"/>
      <c r="J12" s="17" t="n"/>
      <c r="K12" s="17" t="n"/>
      <c r="L12" s="17" t="n"/>
      <c r="M12" s="17" t="n"/>
    </row>
    <row r="13" ht="39.75" customHeight="1">
      <c r="A13" s="549" t="inlineStr">
        <is>
          <t xml:space="preserve">Location        مكان العينة   </t>
        </is>
      </c>
      <c r="B13" s="550" t="n"/>
      <c r="C13" s="537" t="n"/>
      <c r="D13" s="577" t="inlineStr">
        <is>
          <t xml:space="preserve">Treated Effluent    السيب النهائى          </t>
        </is>
      </c>
      <c r="E13" s="550" t="n"/>
      <c r="F13" s="550" t="n"/>
      <c r="G13" s="550" t="n"/>
      <c r="H13" s="550" t="n"/>
      <c r="I13" s="550" t="n"/>
      <c r="J13" s="550" t="n"/>
      <c r="K13" s="564" t="inlineStr">
        <is>
          <t>Chlorinated Effluent</t>
        </is>
      </c>
      <c r="L13" s="550" t="n"/>
      <c r="M13" s="537" t="n"/>
      <c r="X13" s="12" t="n"/>
    </row>
    <row r="14" ht="23.25" customHeight="1">
      <c r="A14" s="549" t="inlineStr">
        <is>
          <t>Parameter</t>
        </is>
      </c>
      <c r="B14" s="550" t="n"/>
      <c r="C14" s="537" t="n"/>
      <c r="D14" s="706" t="inlineStr">
        <is>
          <t>BOD5</t>
        </is>
      </c>
      <c r="E14" s="623" t="n"/>
      <c r="F14" s="623" t="n"/>
      <c r="G14" s="623" t="n"/>
      <c r="H14" s="703" t="inlineStr">
        <is>
          <t>Turbidity</t>
        </is>
      </c>
      <c r="I14" s="550" t="n"/>
      <c r="J14" s="537" t="n"/>
      <c r="K14" s="701" t="inlineStr">
        <is>
          <t>TSS</t>
        </is>
      </c>
      <c r="L14" s="623" t="n"/>
      <c r="M14" s="569" t="n"/>
      <c r="O14" s="19" t="n"/>
      <c r="X14" s="12" t="n"/>
    </row>
    <row r="15" ht="21" customHeight="1">
      <c r="A15" s="549" t="inlineStr">
        <is>
          <t>Unit                    الوحدة</t>
        </is>
      </c>
      <c r="B15" s="550" t="n"/>
      <c r="C15" s="537" t="n"/>
      <c r="D15" s="536" t="inlineStr">
        <is>
          <t>mg/l</t>
        </is>
      </c>
      <c r="E15" s="550" t="n"/>
      <c r="F15" s="550" t="n"/>
      <c r="G15" s="537" t="n"/>
      <c r="H15" s="580" t="inlineStr">
        <is>
          <t>NTU</t>
        </is>
      </c>
      <c r="I15" s="550" t="n"/>
      <c r="J15" s="537" t="n"/>
      <c r="K15" s="580" t="inlineStr">
        <is>
          <t>mg/l</t>
        </is>
      </c>
      <c r="L15" s="550" t="n"/>
      <c r="M15" s="537" t="n"/>
      <c r="Q15" s="19" t="n"/>
      <c r="S15" s="19" t="n"/>
      <c r="V15" s="19" t="n"/>
      <c r="W15" s="19" t="n"/>
      <c r="X15" s="19" t="n"/>
      <c r="AA15" s="19" t="n"/>
    </row>
    <row r="16" ht="21.75" customHeight="1">
      <c r="A16" s="549" t="inlineStr">
        <is>
          <t>Criteria             المعايير</t>
        </is>
      </c>
      <c r="B16" s="550" t="n"/>
      <c r="C16" s="537" t="n"/>
      <c r="D16" s="698" t="inlineStr">
        <is>
          <t>&lt;60</t>
        </is>
      </c>
      <c r="E16" s="550" t="n"/>
      <c r="F16" s="550" t="n"/>
      <c r="G16" s="537" t="n"/>
      <c r="H16" s="580" t="inlineStr">
        <is>
          <t>&lt;10</t>
        </is>
      </c>
      <c r="I16" s="550" t="n"/>
      <c r="J16" s="537" t="n"/>
      <c r="K16" s="580" t="inlineStr">
        <is>
          <t>&lt;50</t>
        </is>
      </c>
      <c r="L16" s="550" t="n"/>
      <c r="M16" s="537" t="n"/>
    </row>
    <row r="17" ht="24" customHeight="1">
      <c r="A17" s="549" t="inlineStr">
        <is>
          <t xml:space="preserve">Results               النتائج  </t>
        </is>
      </c>
      <c r="B17" s="550" t="n"/>
      <c r="C17" s="537" t="n"/>
      <c r="D17" s="792">
        <f>Main!H34</f>
        <v/>
      </c>
      <c r="E17" s="623" t="n"/>
      <c r="F17" s="623" t="n"/>
      <c r="G17" s="569" t="n"/>
      <c r="H17" s="705">
        <f>Main!K34</f>
        <v/>
      </c>
      <c r="I17" s="623" t="n"/>
      <c r="J17" s="569" t="n"/>
      <c r="K17" s="792">
        <f>Main!H18</f>
        <v/>
      </c>
      <c r="L17" s="623" t="n"/>
      <c r="M17" s="569" t="n"/>
    </row>
    <row r="18" ht="16.5" customHeight="1">
      <c r="E18" s="72" t="n"/>
      <c r="N18" s="19" t="n"/>
      <c r="P18" s="19" t="n"/>
    </row>
    <row r="19">
      <c r="C19" s="19" t="n"/>
      <c r="I19" s="19" t="n"/>
      <c r="R19" s="19" t="n"/>
      <c r="T19" s="19" t="n"/>
    </row>
    <row r="20">
      <c r="N20" s="19" t="n"/>
    </row>
    <row r="21">
      <c r="A21" s="19" t="n"/>
      <c r="G21" s="19" t="n"/>
      <c r="M21" s="19" t="n"/>
      <c r="R21" s="19" t="n"/>
    </row>
    <row r="22">
      <c r="A22" s="19" t="n"/>
      <c r="G22" s="19" t="n"/>
      <c r="M22" s="19" t="n"/>
      <c r="R22" s="19" t="n"/>
    </row>
    <row r="23">
      <c r="A23" s="19" t="n"/>
      <c r="G23" s="19" t="n"/>
      <c r="M23" s="19" t="n"/>
      <c r="R23" s="19" t="n"/>
    </row>
    <row r="24">
      <c r="A24" s="19" t="n"/>
      <c r="G24" s="19" t="n"/>
      <c r="M24" s="19" t="n"/>
      <c r="R24" s="19" t="n"/>
    </row>
    <row r="25">
      <c r="A25" s="19" t="n"/>
      <c r="G25" s="19" t="n"/>
      <c r="M25" s="19" t="n"/>
      <c r="R25" s="19" t="n"/>
    </row>
    <row r="26">
      <c r="A26" s="19" t="n"/>
      <c r="G26" s="19" t="n"/>
      <c r="M26" s="19" t="n"/>
      <c r="R26" s="19" t="n"/>
    </row>
    <row r="27">
      <c r="A27" s="19" t="n"/>
      <c r="G27" s="19" t="n"/>
      <c r="M27" s="19" t="n"/>
      <c r="R27" s="19" t="n"/>
    </row>
    <row r="28">
      <c r="A28" s="19" t="n"/>
      <c r="G28" s="19" t="n"/>
      <c r="M28" s="19" t="n"/>
      <c r="O28" s="638" t="inlineStr">
        <is>
          <t>رجوع</t>
        </is>
      </c>
      <c r="P28" s="534" t="n"/>
      <c r="R28" s="19" t="n"/>
    </row>
    <row r="29">
      <c r="A29" s="19" t="n"/>
      <c r="G29" s="19" t="n"/>
      <c r="M29" s="19" t="n"/>
      <c r="O29" s="534" t="n"/>
      <c r="P29" s="534" t="n"/>
      <c r="R29" s="19" t="n"/>
    </row>
    <row r="30">
      <c r="A30" s="19" t="n"/>
      <c r="G30" s="19" t="n"/>
      <c r="M30" s="19" t="n"/>
      <c r="O30" s="534" t="n"/>
      <c r="P30" s="534" t="n"/>
      <c r="R30" s="19" t="n"/>
    </row>
    <row r="31">
      <c r="A31" s="19" t="n"/>
      <c r="G31" s="19" t="n"/>
      <c r="M31" s="19" t="n"/>
      <c r="O31" s="534" t="n"/>
      <c r="P31" s="534" t="n"/>
      <c r="R31" s="19" t="n"/>
    </row>
    <row r="33" ht="13.8" customHeight="1">
      <c r="C33" s="49" t="n"/>
      <c r="D33" s="49" t="n"/>
      <c r="I33" s="49" t="n"/>
      <c r="J33" s="49" t="n"/>
      <c r="P33" s="19" t="n"/>
    </row>
    <row r="34" ht="13.8" customHeight="1">
      <c r="A34" s="49" t="n"/>
      <c r="G34" s="49" t="n"/>
      <c r="M34" s="49" t="n"/>
    </row>
    <row r="35" ht="13.8" customHeight="1">
      <c r="E35" s="19" t="n"/>
      <c r="K35" s="19" t="n"/>
      <c r="R35" s="49" t="n"/>
      <c r="S35" s="49" t="n"/>
    </row>
    <row r="36" ht="13.8" customHeight="1">
      <c r="B36" s="19" t="n"/>
      <c r="H36" s="19" t="n"/>
      <c r="N36" s="19" t="n"/>
      <c r="O36" s="49" t="n"/>
      <c r="P36" s="49" t="n"/>
    </row>
    <row r="37">
      <c r="T37" s="19" t="n"/>
    </row>
    <row r="38">
      <c r="Q38" s="19" t="n"/>
    </row>
    <row r="39" ht="18.75" customHeight="1">
      <c r="B39" s="2" t="inlineStr">
        <is>
          <t>Analyzed by</t>
        </is>
      </c>
      <c r="J39" s="2" t="inlineStr">
        <is>
          <t>Reviewed by</t>
        </is>
      </c>
    </row>
    <row r="40" ht="18.75" customHeight="1">
      <c r="S40" s="19" t="n"/>
    </row>
    <row r="41" ht="18.75" customHeight="1"/>
    <row r="42" ht="18.75" customHeight="1"/>
    <row r="45" ht="18" customHeight="1" thickBot="1">
      <c r="A45" s="50" t="n"/>
      <c r="B45" s="50" t="n"/>
      <c r="C45" s="50" t="n"/>
      <c r="D45" s="50" t="n"/>
      <c r="E45" s="50" t="n"/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V45" s="51" t="n"/>
    </row>
    <row r="46" ht="18" customHeight="1" thickTop="1">
      <c r="V46" s="51" t="n"/>
    </row>
    <row r="47" ht="17.4" customHeight="1">
      <c r="V47" s="51" t="n"/>
    </row>
    <row r="48" ht="17.4" customHeight="1">
      <c r="V48" s="51" t="n"/>
    </row>
    <row r="49" ht="17.4" customHeight="1">
      <c r="V49" s="51" t="n"/>
    </row>
    <row r="50" ht="17.4" customHeight="1">
      <c r="V50" s="51" t="n"/>
    </row>
    <row r="51" ht="17.4" customHeight="1">
      <c r="V51" s="51" t="n"/>
    </row>
    <row r="52" ht="17.4" customHeight="1">
      <c r="V52" s="51" t="n"/>
    </row>
    <row r="53" ht="17.4" customHeight="1">
      <c r="V53" s="51" t="n"/>
    </row>
    <row r="54" ht="17.4" customHeight="1">
      <c r="P54" s="19" t="n"/>
      <c r="V54" s="51" t="n"/>
    </row>
    <row r="55">
      <c r="P55" s="52" t="n"/>
    </row>
    <row r="56">
      <c r="P56" s="52" t="n"/>
    </row>
    <row r="57">
      <c r="P57" s="52" t="n"/>
    </row>
  </sheetData>
  <sheetProtection selectLockedCells="0" selectUnlockedCells="0" algorithmName="SHA-512" sheet="1" objects="1" insertRows="1" insertHyperlinks="0" autoFilter="1" scenarios="1" formatColumns="0" deleteColumns="1" insertColumns="1" pivotTables="1" deleteRows="1" formatCells="0" saltValue="HuUopXFVy/BPNlPBTSPM0w==" formatRows="0" sort="1" spinCount="100000" hashValue="I6Ty3dj/OglxwndBdnlq874VQRbWerCHblUyg+E3826qASFh2X1MG1F0YkNOd5Qlz+u864qFkH0O0JwkJL5L4Q=="/>
  <mergeCells count="34">
    <mergeCell ref="C9:K9"/>
    <mergeCell ref="D15:G15"/>
    <mergeCell ref="H17:J17"/>
    <mergeCell ref="H11:J11"/>
    <mergeCell ref="D14:G14"/>
    <mergeCell ref="H16:J16"/>
    <mergeCell ref="K3:N3"/>
    <mergeCell ref="I5:N5"/>
    <mergeCell ref="A7:E7"/>
    <mergeCell ref="A5:F5"/>
    <mergeCell ref="A14:C14"/>
    <mergeCell ref="K14:M14"/>
    <mergeCell ref="D11:E11"/>
    <mergeCell ref="A17:C17"/>
    <mergeCell ref="A4:F4"/>
    <mergeCell ref="K17:M17"/>
    <mergeCell ref="I4:N4"/>
    <mergeCell ref="H15:J15"/>
    <mergeCell ref="G3:H5"/>
    <mergeCell ref="A13:C13"/>
    <mergeCell ref="H14:J14"/>
    <mergeCell ref="J7:N7"/>
    <mergeCell ref="K13:M13"/>
    <mergeCell ref="K11:N11"/>
    <mergeCell ref="A15:C15"/>
    <mergeCell ref="K16:M16"/>
    <mergeCell ref="D13:J13"/>
    <mergeCell ref="K15:M15"/>
    <mergeCell ref="A11:C11"/>
    <mergeCell ref="O28:P31"/>
    <mergeCell ref="D17:G17"/>
    <mergeCell ref="A3:D3"/>
    <mergeCell ref="D16:G16"/>
    <mergeCell ref="A16:C16"/>
  </mergeCells>
  <hyperlinks>
    <hyperlink ref="O28" location="Main!A1" display="رجوع"/>
  </hyperlinks>
  <pageMargins left="0.748030402449694" right="0.748030402449694" top="0.984251968503937" bottom="0.984251968503937" header="0.511809930008749" footer="0.511809930008749"/>
  <pageSetup orientation="landscape" paperSize="9" scale="7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S35"/>
  <sheetViews>
    <sheetView topLeftCell="C1" workbookViewId="0">
      <selection activeCell="Q18" sqref="Q18:R21"/>
    </sheetView>
  </sheetViews>
  <sheetFormatPr baseColWidth="8" defaultColWidth="9.109375" defaultRowHeight="13.2"/>
  <cols>
    <col width="9.109375" customWidth="1" style="534" min="1" max="3"/>
    <col width="21.33203125" bestFit="1" customWidth="1" style="534" min="4" max="4"/>
    <col width="9.44140625" bestFit="1" customWidth="1" style="534" min="5" max="6"/>
    <col width="9.5546875" bestFit="1" customWidth="1" style="534" min="7" max="8"/>
    <col width="10.109375" customWidth="1" style="534" min="9" max="9"/>
    <col width="9.5546875" bestFit="1" customWidth="1" style="534" min="10" max="11"/>
    <col width="10.109375" bestFit="1" customWidth="1" style="534" min="12" max="12"/>
    <col width="9.5546875" bestFit="1" customWidth="1" style="534" min="13" max="13"/>
    <col width="9.44140625" bestFit="1" customWidth="1" style="534" min="14" max="14"/>
    <col width="9.109375" customWidth="1" style="534" min="15" max="16"/>
    <col width="9.109375" customWidth="1" style="534" min="17" max="16384"/>
  </cols>
  <sheetData>
    <row r="1">
      <c r="A1" s="367" t="n"/>
      <c r="B1" s="367" t="n"/>
      <c r="C1" s="367" t="n"/>
      <c r="D1" s="367" t="n"/>
      <c r="E1" s="367" t="n"/>
      <c r="F1" s="367" t="n"/>
      <c r="G1" s="367" t="n"/>
      <c r="H1" s="367" t="n"/>
      <c r="I1" s="367" t="n"/>
      <c r="J1" s="367" t="n"/>
      <c r="K1" s="367" t="n"/>
    </row>
    <row r="2">
      <c r="A2" s="367" t="n"/>
      <c r="B2" s="367" t="n"/>
      <c r="C2" s="367" t="n"/>
      <c r="D2" s="163" t="inlineStr">
        <is>
          <t>CL-  M.Wt</t>
        </is>
      </c>
      <c r="E2" s="369" t="n">
        <v>35.45</v>
      </c>
      <c r="F2" s="367" t="n"/>
      <c r="G2" s="367" t="n"/>
      <c r="H2" s="367" t="n"/>
      <c r="I2" s="367" t="n"/>
    </row>
    <row r="3">
      <c r="A3" s="367" t="n"/>
      <c r="B3" s="367" t="n"/>
      <c r="C3" s="367" t="n"/>
      <c r="D3" s="367" t="n"/>
      <c r="E3" s="367" t="n"/>
      <c r="F3" s="367" t="n"/>
      <c r="G3" s="367" t="n"/>
    </row>
    <row r="4">
      <c r="A4" s="367" t="n"/>
      <c r="B4" s="367" t="n"/>
      <c r="C4" s="367" t="n"/>
      <c r="D4" s="367" t="n"/>
      <c r="E4" s="367" t="n"/>
      <c r="F4" s="367" t="n"/>
      <c r="G4" s="367" t="n"/>
    </row>
    <row r="5">
      <c r="A5" s="367" t="n"/>
      <c r="B5" s="367" t="n"/>
      <c r="C5" s="163" t="inlineStr">
        <is>
          <t>Cl- Power</t>
        </is>
      </c>
      <c r="D5" s="163" t="inlineStr">
        <is>
          <t>Na2S2O3</t>
        </is>
      </c>
      <c r="E5" s="367" t="n"/>
      <c r="F5" s="163" t="inlineStr">
        <is>
          <t>Blank</t>
        </is>
      </c>
      <c r="G5" s="163" t="inlineStr">
        <is>
          <t>Na2S2O3</t>
        </is>
      </c>
    </row>
    <row r="6">
      <c r="A6" s="367" t="n"/>
      <c r="B6" s="163" t="inlineStr">
        <is>
          <t>V</t>
        </is>
      </c>
      <c r="C6" s="367" t="n">
        <v>10</v>
      </c>
      <c r="D6" s="367" t="n">
        <v>5.5</v>
      </c>
      <c r="E6" s="163" t="inlineStr">
        <is>
          <t>V</t>
        </is>
      </c>
      <c r="F6" s="367" t="n">
        <v>250</v>
      </c>
      <c r="G6" s="367" t="n">
        <v>0</v>
      </c>
    </row>
    <row r="7">
      <c r="A7" s="367" t="n"/>
      <c r="B7" s="367" t="n"/>
      <c r="C7" s="164">
        <f>IFERROR((D6-$G$6)*Sulfide!D23*$E$2/C6,"")</f>
        <v/>
      </c>
      <c r="D7" s="367" t="n"/>
      <c r="E7" s="367" t="n"/>
      <c r="F7" s="367" t="n"/>
      <c r="G7" s="367" t="n"/>
    </row>
    <row r="8">
      <c r="A8" s="367" t="n"/>
      <c r="B8" s="367" t="n"/>
      <c r="C8" s="367" t="n"/>
      <c r="D8" s="367" t="n"/>
      <c r="E8" s="367" t="n"/>
      <c r="F8" s="367" t="n"/>
      <c r="G8" s="367" t="n"/>
    </row>
    <row r="9">
      <c r="A9" s="367" t="n"/>
      <c r="B9" s="367" t="n"/>
      <c r="C9" s="367" t="n"/>
      <c r="D9" s="367" t="n"/>
      <c r="E9" s="367" t="n"/>
      <c r="F9" s="367" t="n"/>
      <c r="G9" s="367" t="n"/>
    </row>
    <row r="15" ht="20.1" customHeight="1">
      <c r="D15" s="165" t="inlineStr">
        <is>
          <t>mg Cl2 ( Dose )</t>
        </is>
      </c>
      <c r="E15" s="166" t="n"/>
      <c r="F15" s="166" t="n"/>
      <c r="G15" s="166" t="n"/>
      <c r="H15" s="166" t="n"/>
      <c r="I15" s="166" t="n"/>
      <c r="J15" s="166" t="n"/>
      <c r="K15" s="166" t="n"/>
      <c r="L15" s="166" t="n"/>
      <c r="M15" s="166" t="n"/>
      <c r="N15" s="166" t="n"/>
    </row>
    <row r="16" ht="20.1" customHeight="1">
      <c r="D16" s="167" t="inlineStr">
        <is>
          <t>ml of Cl2 in L</t>
        </is>
      </c>
      <c r="E16" s="793">
        <f>IFERROR(E15/$C$7,"")</f>
        <v/>
      </c>
      <c r="F16" s="793">
        <f>IFERROR(F15/$C$7,"")</f>
        <v/>
      </c>
      <c r="G16" s="793">
        <f>IFERROR(G15/$C$7,"")</f>
        <v/>
      </c>
      <c r="H16" s="793">
        <f>IFERROR(H15/$C$7,"")</f>
        <v/>
      </c>
      <c r="I16" s="793">
        <f>IFERROR(I15/$C$7,"")</f>
        <v/>
      </c>
      <c r="J16" s="793">
        <f>IFERROR(J15/$C$7,"")</f>
        <v/>
      </c>
      <c r="K16" s="793">
        <f>IFERROR(K15/$C$7,"")</f>
        <v/>
      </c>
      <c r="L16" s="793">
        <f>IFERROR(L15/$C$7,"")</f>
        <v/>
      </c>
      <c r="M16" s="793">
        <f>IFERROR(M15/$C$7,"")</f>
        <v/>
      </c>
      <c r="N16" s="793">
        <f>IFERROR(N15/$C$7,"")</f>
        <v/>
      </c>
    </row>
    <row r="17" ht="20.1" customHeight="1">
      <c r="D17" s="167" t="inlineStr">
        <is>
          <t>ml of Cl2 in 250 ml</t>
        </is>
      </c>
      <c r="E17" s="793">
        <f>IFERROR(E16/4,"")</f>
        <v/>
      </c>
      <c r="F17" s="793">
        <f>IFERROR(F16/4,"")</f>
        <v/>
      </c>
      <c r="G17" s="793">
        <f>IFERROR(G16/4,"")</f>
        <v/>
      </c>
      <c r="H17" s="793">
        <f>IFERROR(H16/4,"")</f>
        <v/>
      </c>
      <c r="I17" s="793">
        <f>IFERROR(I16/4,"")</f>
        <v/>
      </c>
      <c r="J17" s="793">
        <f>IFERROR(J16/4,"")</f>
        <v/>
      </c>
      <c r="K17" s="793">
        <f>IFERROR(K16/4,"")</f>
        <v/>
      </c>
      <c r="L17" s="793">
        <f>IFERROR(L16/4,"")</f>
        <v/>
      </c>
      <c r="M17" s="793">
        <f>IFERROR(M16/4,"")</f>
        <v/>
      </c>
      <c r="N17" s="793">
        <f>IFERROR(N16/4,"")</f>
        <v/>
      </c>
    </row>
    <row r="18" ht="20.1" customHeight="1">
      <c r="D18" s="167" t="inlineStr">
        <is>
          <t>R Cl</t>
        </is>
      </c>
      <c r="E18" s="397" t="n"/>
      <c r="F18" s="397" t="n"/>
      <c r="G18" s="397" t="n"/>
      <c r="H18" s="397" t="n"/>
      <c r="I18" s="397" t="n"/>
      <c r="J18" s="398" t="n"/>
      <c r="K18" s="397" t="n"/>
      <c r="L18" s="397" t="n"/>
      <c r="M18" s="397" t="n"/>
      <c r="N18" s="397" t="n"/>
      <c r="Q18" s="707" t="inlineStr">
        <is>
          <t>رجوع</t>
        </is>
      </c>
      <c r="R18" s="534" t="n"/>
    </row>
    <row r="19" ht="20.1" customHeight="1">
      <c r="D19" s="167" t="inlineStr">
        <is>
          <t>Temp</t>
        </is>
      </c>
      <c r="E19" s="166" t="n"/>
      <c r="F19" s="166" t="n"/>
      <c r="G19" s="166" t="n"/>
      <c r="H19" s="166" t="n"/>
      <c r="I19" s="166" t="n"/>
      <c r="J19" s="166" t="n"/>
      <c r="K19" s="166" t="n"/>
      <c r="L19" s="166" t="n"/>
      <c r="M19" s="166" t="n"/>
      <c r="N19" s="166" t="n"/>
      <c r="Q19" s="534" t="n"/>
      <c r="R19" s="534" t="n"/>
    </row>
    <row r="20" ht="20.1" customHeight="1">
      <c r="D20" s="167" t="inlineStr">
        <is>
          <t>PH</t>
        </is>
      </c>
      <c r="E20" s="399" t="n"/>
      <c r="F20" s="399" t="n"/>
      <c r="G20" s="399" t="n"/>
      <c r="H20" s="399" t="n"/>
      <c r="I20" s="399" t="n"/>
      <c r="J20" s="399" t="n"/>
      <c r="K20" s="399" t="n"/>
      <c r="L20" s="399" t="n"/>
      <c r="M20" s="399" t="n"/>
      <c r="N20" s="399" t="n"/>
      <c r="Q20" s="534" t="n"/>
      <c r="R20" s="534" t="n"/>
    </row>
    <row r="21">
      <c r="Q21" s="534" t="n"/>
      <c r="R21" s="534" t="n"/>
    </row>
    <row r="23">
      <c r="D23" s="168" t="inlineStr">
        <is>
          <t>Contact time</t>
        </is>
      </c>
      <c r="E23" s="534" t="inlineStr">
        <is>
          <t>20 min</t>
        </is>
      </c>
      <c r="K23" s="534">
        <f>E26*4</f>
        <v/>
      </c>
    </row>
    <row r="24">
      <c r="D24" s="168" t="inlineStr">
        <is>
          <t>Residual chlorine</t>
        </is>
      </c>
      <c r="E24" s="534" t="n">
        <v>0.16</v>
      </c>
    </row>
    <row r="25">
      <c r="D25" s="168" t="inlineStr">
        <is>
          <t>Chlorine demand</t>
        </is>
      </c>
      <c r="E25" s="582" t="n">
        <v>4.8</v>
      </c>
    </row>
    <row r="26">
      <c r="D26" s="168" t="inlineStr">
        <is>
          <t>Chlorine Requirement</t>
        </is>
      </c>
      <c r="E26" s="534" t="n">
        <v>6.5</v>
      </c>
    </row>
    <row r="33">
      <c r="I33" s="534" t="n">
        <v>0.6</v>
      </c>
      <c r="J33" s="534" t="n">
        <v>0.5</v>
      </c>
      <c r="K33" s="534" t="n">
        <v>0.6</v>
      </c>
      <c r="L33" s="534" t="n">
        <v>0.4</v>
      </c>
      <c r="M33" s="534" t="n">
        <v>0.3</v>
      </c>
      <c r="N33" s="534" t="n">
        <v>0.4</v>
      </c>
      <c r="O33" s="534" t="n">
        <v>0.41</v>
      </c>
      <c r="P33" s="534" t="n">
        <v>0.43</v>
      </c>
      <c r="Q33" s="534" t="n">
        <v>0.44</v>
      </c>
      <c r="R33" s="534" t="n">
        <v>0.3</v>
      </c>
      <c r="S33" s="534" t="n">
        <v>0.31</v>
      </c>
    </row>
    <row r="34">
      <c r="I34" s="534">
        <f>35.45*0.023*10</f>
        <v/>
      </c>
    </row>
    <row r="35">
      <c r="I35" s="534">
        <f>I33*$I$34</f>
        <v/>
      </c>
      <c r="J35" s="534">
        <f>J33*$I$34</f>
        <v/>
      </c>
      <c r="K35" s="534">
        <f>K33*$I$34</f>
        <v/>
      </c>
      <c r="L35" s="534">
        <f>L33*$I$34</f>
        <v/>
      </c>
      <c r="M35" s="534">
        <f>M33*$I$34</f>
        <v/>
      </c>
      <c r="N35" s="534">
        <f>N33*$I$34</f>
        <v/>
      </c>
      <c r="O35" s="534">
        <f>O33*$I$34</f>
        <v/>
      </c>
      <c r="P35" s="534">
        <f>P33*$I$34</f>
        <v/>
      </c>
      <c r="Q35" s="534">
        <f>Q33*$I$34</f>
        <v/>
      </c>
      <c r="R35" s="534">
        <f>R33*$I$34</f>
        <v/>
      </c>
      <c r="S35" s="534">
        <f>S33*$I$34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hBL5pmh2E8mFIkkIXUywzQ==" formatRows="1" sort="1" spinCount="100000" hashValue="YD13DzoCO8EwfgqO7jfzs2wVPbCtRjeNLbBkBZA2FEAsO639L0rAR5HvK+mGGSnyBAxMYXu916x/YDDRL7zHOA=="/>
  <mergeCells count="1">
    <mergeCell ref="Q18:R21"/>
  </mergeCells>
  <hyperlinks>
    <hyperlink ref="Q18" location="Main!A1" display="رجوع"/>
  </hyperlink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Sheet10">
    <outlinePr summaryBelow="1" summaryRight="1"/>
    <pageSetUpPr fitToPage="1"/>
  </sheetPr>
  <dimension ref="A1:AA70"/>
  <sheetViews>
    <sheetView showWhiteSpace="0" topLeftCell="A21" zoomScaleNormal="100" zoomScaleSheetLayoutView="75" workbookViewId="0">
      <selection activeCell="J7" sqref="J7:N7"/>
    </sheetView>
  </sheetViews>
  <sheetFormatPr baseColWidth="8" defaultColWidth="9.109375" defaultRowHeight="13.2"/>
  <cols>
    <col width="6" customWidth="1" style="2" min="1" max="2"/>
    <col width="26.5546875" customWidth="1" style="2" min="3" max="3"/>
    <col width="8.6640625" customWidth="1" style="2" min="4" max="13"/>
    <col width="15.109375" bestFit="1" customWidth="1" style="2" min="14" max="14"/>
    <col width="13" customWidth="1" style="2" min="15" max="15"/>
    <col width="13" bestFit="1" customWidth="1" style="2" min="16" max="16"/>
    <col width="9.109375" customWidth="1" style="2" min="17" max="21"/>
    <col width="33.5546875" customWidth="1" style="2" min="22" max="22"/>
    <col width="9.109375" customWidth="1" style="2" min="23" max="25"/>
    <col width="9.5546875" bestFit="1" customWidth="1" style="2" min="26" max="26"/>
    <col width="9.109375" customWidth="1" style="2" min="27" max="28"/>
    <col width="9.109375" customWidth="1" style="2" min="29" max="16384"/>
  </cols>
  <sheetData>
    <row r="1">
      <c r="A1" s="169" t="n"/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</row>
    <row r="2">
      <c r="A2" s="169" t="n"/>
      <c r="B2" s="169" t="n"/>
      <c r="C2" s="169" t="n"/>
      <c r="D2" s="169" t="n"/>
      <c r="E2" s="169" t="n"/>
      <c r="F2" s="169" t="n"/>
      <c r="G2" s="169" t="n"/>
      <c r="H2" s="169" t="n"/>
      <c r="I2" s="169" t="n"/>
      <c r="J2" s="169" t="n"/>
      <c r="K2" s="169" t="n"/>
      <c r="L2" s="169" t="n"/>
      <c r="M2" s="169" t="n"/>
      <c r="N2" s="169" t="n"/>
    </row>
    <row r="3" ht="15" customHeight="1">
      <c r="A3" s="719" t="inlineStr">
        <is>
          <t>Holding Company</t>
        </is>
      </c>
      <c r="B3" s="582" t="n"/>
      <c r="C3" s="582" t="n"/>
      <c r="D3" s="582" t="n"/>
      <c r="E3" s="170" t="n"/>
      <c r="F3" s="170" t="n"/>
      <c r="G3" s="699" t="n"/>
      <c r="H3" s="582" t="n"/>
      <c r="I3" s="170" t="n"/>
      <c r="J3" s="170" t="n"/>
      <c r="K3" s="715" t="inlineStr">
        <is>
          <t xml:space="preserve">                        الشركة القابضة</t>
        </is>
      </c>
      <c r="L3" s="582" t="n"/>
      <c r="M3" s="582" t="n"/>
      <c r="N3" s="582" t="n"/>
    </row>
    <row r="4" ht="15" customHeight="1">
      <c r="A4" s="719" t="inlineStr">
        <is>
          <t>Fayoum drinking Water and Sanitation Company</t>
        </is>
      </c>
      <c r="B4" s="582" t="n"/>
      <c r="C4" s="582" t="n"/>
      <c r="D4" s="582" t="n"/>
      <c r="E4" s="582" t="n"/>
      <c r="F4" s="582" t="n"/>
      <c r="G4" s="582" t="n"/>
      <c r="H4" s="582" t="n"/>
      <c r="I4" s="715" t="inlineStr">
        <is>
          <t>شركة مياه الشرب والصرف الصحى بالفيوم</t>
        </is>
      </c>
      <c r="J4" s="582" t="n"/>
      <c r="K4" s="582" t="n"/>
      <c r="L4" s="582" t="n"/>
      <c r="M4" s="582" t="n"/>
      <c r="N4" s="582" t="n"/>
    </row>
    <row r="5" ht="15" customHeight="1">
      <c r="A5" s="717" t="n"/>
      <c r="B5" s="597" t="n"/>
      <c r="C5" s="597" t="n"/>
      <c r="D5" s="597" t="n"/>
      <c r="E5" s="597" t="n"/>
      <c r="F5" s="597" t="n"/>
      <c r="G5" s="597" t="n"/>
      <c r="H5" s="597" t="n"/>
      <c r="I5" s="716" t="inlineStr">
        <is>
          <t>قطاع المعامل - الادارة العامة لمعامل الصرف الصحى</t>
        </is>
      </c>
      <c r="J5" s="597" t="n"/>
      <c r="K5" s="597" t="n"/>
      <c r="L5" s="597" t="n"/>
      <c r="M5" s="597" t="n"/>
      <c r="N5" s="597" t="n"/>
    </row>
    <row r="6" ht="27" customHeight="1">
      <c r="A6" s="719" t="n"/>
      <c r="B6" s="719" t="n"/>
      <c r="C6" s="719" t="n"/>
      <c r="D6" s="719" t="n"/>
      <c r="E6" s="719" t="n"/>
      <c r="F6" s="719" t="n"/>
      <c r="G6" s="709" t="n"/>
      <c r="H6" s="709" t="n"/>
      <c r="I6" s="715" t="n"/>
      <c r="J6" s="709" t="n"/>
      <c r="K6" s="709" t="n"/>
      <c r="L6" s="709" t="n"/>
      <c r="M6" s="709" t="n"/>
      <c r="N6" s="709" t="n"/>
    </row>
    <row r="7" ht="20.4" customHeight="1">
      <c r="A7" s="699">
        <f>Main!A7</f>
        <v/>
      </c>
      <c r="B7" s="597" t="n"/>
      <c r="C7" s="597" t="n"/>
      <c r="D7" s="597" t="n"/>
      <c r="E7" s="597" t="n"/>
      <c r="F7" s="171" t="n"/>
      <c r="G7" s="171" t="n"/>
      <c r="H7" s="171" t="n"/>
      <c r="I7" s="171" t="n"/>
      <c r="J7" s="704">
        <f>Main!J7</f>
        <v/>
      </c>
      <c r="K7" s="597" t="n"/>
      <c r="L7" s="597" t="n"/>
      <c r="M7" s="597" t="n"/>
      <c r="N7" s="597" t="n"/>
    </row>
    <row r="8" ht="20.4" customHeight="1">
      <c r="A8" s="172" t="n"/>
      <c r="B8" s="172" t="n"/>
      <c r="C8" s="173" t="n"/>
      <c r="D8" s="173" t="n"/>
      <c r="E8" s="173" t="n"/>
      <c r="F8" s="174" t="n"/>
      <c r="G8" s="174" t="n"/>
      <c r="H8" s="174" t="n"/>
      <c r="I8" s="174" t="n"/>
      <c r="J8" s="175" t="n"/>
      <c r="K8" s="175" t="n"/>
      <c r="L8" s="718" t="n"/>
      <c r="M8" s="718" t="n"/>
      <c r="N8" s="718" t="n"/>
    </row>
    <row r="9" ht="24" customHeight="1" thickBot="1">
      <c r="A9" s="176" t="n"/>
      <c r="B9" s="176" t="n"/>
      <c r="C9" s="712" t="inlineStr">
        <is>
          <t>BreakPoint</t>
        </is>
      </c>
      <c r="D9" s="713" t="n"/>
      <c r="E9" s="713" t="n"/>
      <c r="F9" s="713" t="n"/>
      <c r="G9" s="713" t="n"/>
      <c r="H9" s="713" t="n"/>
      <c r="I9" s="713" t="n"/>
      <c r="J9" s="713" t="n"/>
      <c r="K9" s="713" t="n"/>
      <c r="L9" s="109" t="n"/>
      <c r="M9" s="109" t="n"/>
      <c r="N9" s="169" t="n"/>
    </row>
    <row r="10" ht="24" customHeight="1" thickTop="1">
      <c r="A10" s="176" t="n"/>
      <c r="B10" s="176" t="n"/>
      <c r="C10" s="176" t="n"/>
      <c r="D10" s="177" t="n"/>
      <c r="E10" s="177" t="n"/>
      <c r="F10" s="177" t="n"/>
      <c r="G10" s="177" t="n"/>
      <c r="H10" s="177" t="n"/>
      <c r="I10" s="177" t="n"/>
      <c r="J10" s="109" t="n"/>
      <c r="K10" s="109" t="n"/>
      <c r="L10" s="109" t="n"/>
      <c r="M10" s="109" t="n"/>
      <c r="N10" s="169" t="n"/>
    </row>
    <row r="11" ht="18" customHeight="1">
      <c r="A11" s="710" t="inlineStr">
        <is>
          <t xml:space="preserve">     Sampling Dat :</t>
        </is>
      </c>
      <c r="B11" s="582" t="n"/>
      <c r="C11" s="582" t="n"/>
      <c r="D11" s="702">
        <f>Main!$D$11</f>
        <v/>
      </c>
      <c r="E11" s="582" t="n"/>
      <c r="F11" s="178" t="n"/>
      <c r="G11" s="179" t="n"/>
      <c r="H11" s="710" t="inlineStr">
        <is>
          <t xml:space="preserve">            Analysis Date :</t>
        </is>
      </c>
      <c r="I11" s="582" t="n"/>
      <c r="J11" s="582" t="n"/>
      <c r="K11" s="702">
        <f>Main!$K$11</f>
        <v/>
      </c>
      <c r="L11" s="582" t="n"/>
      <c r="M11" s="582" t="n"/>
      <c r="N11" s="582" t="n"/>
    </row>
    <row r="12" ht="18" customHeight="1">
      <c r="A12" s="180" t="n"/>
      <c r="B12" s="181" t="n"/>
      <c r="C12" s="181" t="n"/>
      <c r="D12" s="181" t="n"/>
      <c r="E12" s="181" t="n"/>
      <c r="F12" s="181" t="n"/>
      <c r="G12" s="179" t="n"/>
      <c r="H12" s="702" t="n"/>
      <c r="I12" s="182" t="n"/>
      <c r="J12" s="182" t="n"/>
      <c r="K12" s="182" t="n"/>
      <c r="L12" s="182" t="n"/>
      <c r="M12" s="182" t="n"/>
      <c r="N12" s="169" t="n"/>
      <c r="P12" s="19" t="n"/>
    </row>
    <row r="13" ht="20.25" customHeight="1">
      <c r="A13" s="715" t="n"/>
      <c r="B13" s="715" t="n"/>
      <c r="C13" s="715" t="n"/>
      <c r="D13" s="709" t="n"/>
      <c r="E13" s="582" t="n"/>
      <c r="F13" s="582" t="n"/>
      <c r="G13" s="582" t="n"/>
      <c r="H13" s="718" t="n"/>
      <c r="I13" s="582" t="n"/>
      <c r="J13" s="582" t="n"/>
      <c r="K13" s="715" t="n"/>
      <c r="L13" s="715" t="n"/>
      <c r="M13" s="715" t="n"/>
      <c r="N13" s="169" t="n"/>
      <c r="V13" s="19" t="inlineStr">
        <is>
          <t>عينة الصحة</t>
        </is>
      </c>
    </row>
    <row r="14" ht="32.25" customFormat="1" customHeight="1" s="26">
      <c r="A14" s="169" t="n"/>
      <c r="B14" s="711" t="inlineStr">
        <is>
          <t>Scoope  :</t>
        </is>
      </c>
      <c r="C14" s="582" t="n"/>
      <c r="D14" s="169" t="n"/>
      <c r="E14" s="169" t="n"/>
      <c r="F14" s="169" t="n"/>
      <c r="G14" s="169" t="n"/>
      <c r="H14" s="169" t="n"/>
      <c r="I14" s="169" t="n"/>
      <c r="J14" s="169" t="n"/>
      <c r="K14" s="169" t="n"/>
      <c r="L14" s="169" t="n"/>
      <c r="M14" s="169" t="n"/>
      <c r="N14" s="169" t="n"/>
      <c r="O14" s="2" t="n"/>
      <c r="P14" s="2" t="n"/>
      <c r="Q14" s="2" t="n"/>
      <c r="T14" s="2" t="n"/>
      <c r="U14" s="2" t="n"/>
      <c r="V14" s="2" t="n"/>
    </row>
    <row r="15" ht="19.5" customHeight="1">
      <c r="A15" s="169" t="n"/>
      <c r="B15" s="169" t="n"/>
      <c r="C15" s="169" t="n"/>
      <c r="D15" s="169" t="n"/>
      <c r="E15" s="169" t="n"/>
      <c r="F15" s="68" t="n"/>
      <c r="G15" s="169" t="n"/>
      <c r="H15" s="169" t="n"/>
      <c r="I15" s="169" t="n"/>
      <c r="J15" s="169" t="n"/>
      <c r="K15" s="169" t="n"/>
      <c r="L15" s="68" t="n"/>
      <c r="M15" s="169" t="n"/>
      <c r="N15" s="169" t="n"/>
    </row>
    <row r="16" ht="24.9" customHeight="1">
      <c r="A16" s="169" t="n"/>
      <c r="B16" s="183" t="n"/>
      <c r="C16" s="184" t="inlineStr">
        <is>
          <t>* Determine Chlorine dose for Effluent disinfection .</t>
        </is>
      </c>
      <c r="D16" s="169" t="n"/>
      <c r="E16" s="169" t="n"/>
      <c r="F16" s="169" t="n"/>
      <c r="G16" s="169" t="n"/>
      <c r="H16" s="183" t="n"/>
      <c r="I16" s="183" t="n"/>
      <c r="J16" s="169" t="n"/>
      <c r="K16" s="169" t="n"/>
      <c r="L16" s="169" t="n"/>
      <c r="M16" s="169" t="n"/>
      <c r="N16" s="183" t="n"/>
      <c r="O16" s="26" t="n"/>
    </row>
    <row r="17" ht="24.9" customHeight="1">
      <c r="A17" s="169" t="n"/>
      <c r="B17" s="169" t="n"/>
      <c r="C17" s="184" t="inlineStr">
        <is>
          <t>* Standardize chlorine solution by Iodometric titration.</t>
        </is>
      </c>
      <c r="D17" s="169" t="n"/>
      <c r="E17" s="169" t="n"/>
      <c r="F17" s="169" t="n"/>
      <c r="G17" s="169" t="n"/>
      <c r="H17" s="169" t="n"/>
      <c r="I17" s="169" t="n"/>
      <c r="J17" s="169" t="n"/>
      <c r="K17" s="169" t="n"/>
      <c r="L17" s="169" t="n"/>
      <c r="M17" s="169" t="n"/>
      <c r="N17" s="169" t="n"/>
    </row>
    <row r="18" ht="24.9" customHeight="1">
      <c r="A18" s="169" t="n"/>
      <c r="B18" s="169" t="n"/>
      <c r="C18" s="184" t="inlineStr">
        <is>
          <t>* Measuring Residual Chlorine by HACH Pocket Colorimeter II .</t>
        </is>
      </c>
      <c r="D18" s="169" t="n"/>
      <c r="E18" s="169" t="n"/>
      <c r="F18" s="169" t="n"/>
      <c r="G18" s="169" t="n"/>
      <c r="H18" s="169" t="n"/>
      <c r="I18" s="169" t="n"/>
      <c r="J18" s="169" t="n"/>
      <c r="K18" s="169" t="n"/>
      <c r="L18" s="169" t="n"/>
      <c r="M18" s="169" t="n"/>
      <c r="N18" s="169" t="n"/>
      <c r="P18" s="26" t="n"/>
      <c r="Q18" s="26" t="n"/>
      <c r="V18" s="26" t="n"/>
    </row>
    <row r="19" ht="24.9" customHeight="1">
      <c r="A19" s="169" t="n"/>
      <c r="B19" s="169" t="n"/>
      <c r="C19" s="169" t="n"/>
      <c r="D19" s="169" t="n"/>
      <c r="E19" s="169" t="n"/>
      <c r="F19" s="169" t="n"/>
      <c r="G19" s="169" t="n"/>
      <c r="H19" s="169" t="n"/>
      <c r="I19" s="169" t="n"/>
      <c r="J19" s="169" t="n"/>
      <c r="K19" s="169" t="n"/>
      <c r="L19" s="169" t="n"/>
      <c r="M19" s="169" t="n"/>
      <c r="N19" s="169" t="n"/>
    </row>
    <row r="20" ht="24.9" customHeight="1">
      <c r="A20" s="183" t="n"/>
      <c r="B20" s="711" t="inlineStr">
        <is>
          <t>Sampling  :</t>
        </is>
      </c>
      <c r="C20" s="582" t="n"/>
      <c r="D20" s="169" t="n"/>
      <c r="E20" s="169" t="n"/>
      <c r="F20" s="183" t="n"/>
      <c r="G20" s="183" t="n"/>
      <c r="H20" s="169" t="n"/>
      <c r="I20" s="169" t="n"/>
      <c r="J20" s="169" t="n"/>
      <c r="K20" s="169" t="n"/>
      <c r="L20" s="183" t="n"/>
      <c r="M20" s="183" t="n"/>
      <c r="N20" s="169" t="n"/>
      <c r="W20" s="26" t="n"/>
      <c r="X20" s="26" t="n"/>
    </row>
    <row r="21" ht="24.9" customHeight="1">
      <c r="A21" s="169" t="n"/>
      <c r="B21" s="169" t="n"/>
      <c r="C21" s="169" t="n"/>
      <c r="D21" s="169" t="n"/>
      <c r="E21" s="169" t="n"/>
      <c r="F21" s="169" t="n"/>
      <c r="G21" s="169" t="n"/>
      <c r="H21" s="169" t="n"/>
      <c r="I21" s="169" t="n"/>
      <c r="J21" s="169" t="n"/>
      <c r="K21" s="169" t="n"/>
      <c r="L21" s="169" t="n"/>
      <c r="M21" s="169" t="n"/>
      <c r="N21" s="169" t="n"/>
    </row>
    <row r="22" ht="24.9" customHeight="1">
      <c r="A22" s="169" t="n"/>
      <c r="B22" s="169" t="n"/>
      <c r="C22" s="184" t="inlineStr">
        <is>
          <t>* Chlorine Solution is collected from chlorine injector system.</t>
        </is>
      </c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</row>
    <row r="23" ht="24.9" customHeight="1">
      <c r="A23" s="169" t="n"/>
      <c r="B23" s="169" t="n"/>
      <c r="C23" s="184" t="inlineStr">
        <is>
          <t>* Effluent is collected from final sedemtation.</t>
        </is>
      </c>
      <c r="D23" s="169" t="n"/>
      <c r="E23" s="169" t="n"/>
      <c r="F23" s="169" t="n"/>
      <c r="G23" s="169" t="n"/>
      <c r="H23" s="169" t="n"/>
      <c r="I23" s="169" t="n"/>
      <c r="J23" s="169" t="n"/>
      <c r="K23" s="169" t="n"/>
      <c r="L23" s="169" t="n"/>
      <c r="M23" s="169" t="n"/>
      <c r="N23" s="169" t="n"/>
    </row>
    <row r="24" ht="24.9" customHeight="1">
      <c r="A24" s="169" t="n"/>
      <c r="B24" s="169" t="n"/>
      <c r="C24" s="184" t="inlineStr">
        <is>
          <t>Chlorine demand</t>
        </is>
      </c>
      <c r="D24" s="184" t="n">
        <v>4.8</v>
      </c>
      <c r="E24" s="184" t="inlineStr">
        <is>
          <t>mg/L</t>
        </is>
      </c>
      <c r="F24" s="169" t="n"/>
      <c r="G24" s="169" t="n"/>
      <c r="H24" s="169" t="n"/>
      <c r="I24" s="169" t="n"/>
      <c r="J24" s="169" t="n"/>
      <c r="K24" s="169" t="n"/>
      <c r="L24" s="169" t="n"/>
      <c r="M24" s="169" t="n"/>
      <c r="N24" s="169" t="n"/>
      <c r="T24" s="19" t="n"/>
    </row>
    <row r="25" ht="24.9" customHeight="1">
      <c r="A25" s="169" t="n"/>
      <c r="B25" s="711" t="inlineStr">
        <is>
          <t>Results  :</t>
        </is>
      </c>
      <c r="C25" s="582" t="n"/>
      <c r="D25" s="169" t="n"/>
      <c r="E25" s="169" t="n"/>
      <c r="F25" s="169" t="n"/>
      <c r="G25" s="169" t="n"/>
      <c r="H25" s="169" t="n"/>
      <c r="I25" s="169" t="n"/>
      <c r="J25" s="169" t="n"/>
      <c r="K25" s="169" t="n"/>
      <c r="L25" s="169" t="n"/>
      <c r="M25" s="169" t="n"/>
      <c r="N25" s="169" t="n"/>
      <c r="Q25" s="26" t="n"/>
      <c r="R25" s="26" t="n"/>
      <c r="S25" s="26" t="n"/>
    </row>
    <row r="26" ht="24.9" customHeight="1">
      <c r="A26" s="169" t="n"/>
      <c r="B26" s="169" t="n"/>
      <c r="C26" s="169" t="n"/>
      <c r="D26" s="169" t="n"/>
      <c r="E26" s="169" t="n"/>
      <c r="F26" s="169" t="n"/>
      <c r="G26" s="169" t="n"/>
      <c r="H26" s="169" t="n"/>
      <c r="I26" s="169" t="n"/>
      <c r="J26" s="169" t="n"/>
      <c r="K26" s="169" t="n"/>
      <c r="L26" s="169" t="n"/>
      <c r="M26" s="169" t="n"/>
      <c r="N26" s="169" t="n"/>
      <c r="V26" s="19" t="n"/>
    </row>
    <row r="27" ht="24.9" customHeight="1">
      <c r="A27" s="169" t="n"/>
      <c r="B27" s="169" t="n"/>
      <c r="C27" s="165" t="inlineStr">
        <is>
          <t>mg Cl2 ( Dose )</t>
        </is>
      </c>
      <c r="D27" s="185">
        <f>BreakPoint!E15</f>
        <v/>
      </c>
      <c r="E27" s="185">
        <f>BreakPoint!F15</f>
        <v/>
      </c>
      <c r="F27" s="185">
        <f>BreakPoint!G15</f>
        <v/>
      </c>
      <c r="G27" s="185">
        <f>BreakPoint!H15</f>
        <v/>
      </c>
      <c r="H27" s="185">
        <f>BreakPoint!I15</f>
        <v/>
      </c>
      <c r="I27" s="185">
        <f>BreakPoint!J15</f>
        <v/>
      </c>
      <c r="J27" s="185">
        <f>BreakPoint!K15</f>
        <v/>
      </c>
      <c r="K27" s="185">
        <f>BreakPoint!L15</f>
        <v/>
      </c>
      <c r="L27" s="185">
        <f>BreakPoint!M15</f>
        <v/>
      </c>
      <c r="M27" s="185">
        <f>BreakPoint!N15</f>
        <v/>
      </c>
      <c r="N27" s="169" t="n"/>
      <c r="X27" s="12" t="n"/>
    </row>
    <row r="28" ht="24.9" customHeight="1">
      <c r="A28" s="169" t="n"/>
      <c r="B28" s="183" t="n"/>
      <c r="C28" s="186" t="inlineStr">
        <is>
          <t>ml of Cl2 in L</t>
        </is>
      </c>
      <c r="D28" s="793">
        <f>BreakPoint!E16</f>
        <v/>
      </c>
      <c r="E28" s="793">
        <f>BreakPoint!F16</f>
        <v/>
      </c>
      <c r="F28" s="793">
        <f>BreakPoint!G16</f>
        <v/>
      </c>
      <c r="G28" s="793">
        <f>BreakPoint!H16</f>
        <v/>
      </c>
      <c r="H28" s="793">
        <f>BreakPoint!I16</f>
        <v/>
      </c>
      <c r="I28" s="793">
        <f>BreakPoint!J16</f>
        <v/>
      </c>
      <c r="J28" s="793">
        <f>BreakPoint!K16</f>
        <v/>
      </c>
      <c r="K28" s="793">
        <f>BreakPoint!L16</f>
        <v/>
      </c>
      <c r="L28" s="793">
        <f>BreakPoint!M16</f>
        <v/>
      </c>
      <c r="M28" s="793">
        <f>BreakPoint!N16</f>
        <v/>
      </c>
      <c r="N28" s="183" t="n"/>
      <c r="O28" s="26" t="n"/>
      <c r="W28" s="19" t="n"/>
      <c r="X28" s="19" t="n"/>
      <c r="AA28" s="19" t="n"/>
    </row>
    <row r="29" ht="24.9" customHeight="1">
      <c r="A29" s="169" t="n"/>
      <c r="B29" s="169" t="n"/>
      <c r="C29" s="186" t="inlineStr">
        <is>
          <t>ml of Cl2 in 250 ml</t>
        </is>
      </c>
      <c r="D29" s="793">
        <f>BreakPoint!E17</f>
        <v/>
      </c>
      <c r="E29" s="793">
        <f>BreakPoint!F17</f>
        <v/>
      </c>
      <c r="F29" s="793">
        <f>BreakPoint!G17</f>
        <v/>
      </c>
      <c r="G29" s="793">
        <f>BreakPoint!H17</f>
        <v/>
      </c>
      <c r="H29" s="793">
        <f>BreakPoint!I17</f>
        <v/>
      </c>
      <c r="I29" s="793">
        <f>BreakPoint!J17</f>
        <v/>
      </c>
      <c r="J29" s="793">
        <f>BreakPoint!K17</f>
        <v/>
      </c>
      <c r="K29" s="793">
        <f>BreakPoint!L17</f>
        <v/>
      </c>
      <c r="L29" s="793">
        <f>BreakPoint!M17</f>
        <v/>
      </c>
      <c r="M29" s="793">
        <f>BreakPoint!N17</f>
        <v/>
      </c>
      <c r="N29" s="169" t="n"/>
    </row>
    <row r="30" ht="24.9" customHeight="1">
      <c r="A30" s="169" t="n"/>
      <c r="B30" s="169" t="n"/>
      <c r="C30" s="186" t="inlineStr">
        <is>
          <t>Total Cl</t>
        </is>
      </c>
      <c r="D30" s="187">
        <f>BreakPoint!E18</f>
        <v/>
      </c>
      <c r="E30" s="187">
        <f>BreakPoint!F18</f>
        <v/>
      </c>
      <c r="F30" s="187">
        <f>BreakPoint!G18</f>
        <v/>
      </c>
      <c r="G30" s="187">
        <f>BreakPoint!H18</f>
        <v/>
      </c>
      <c r="H30" s="187">
        <f>BreakPoint!I18</f>
        <v/>
      </c>
      <c r="I30" s="187">
        <f>BreakPoint!J18</f>
        <v/>
      </c>
      <c r="J30" s="187">
        <f>BreakPoint!K18</f>
        <v/>
      </c>
      <c r="K30" s="187">
        <f>BreakPoint!L18</f>
        <v/>
      </c>
      <c r="L30" s="187">
        <f>BreakPoint!M18</f>
        <v/>
      </c>
      <c r="M30" s="187">
        <f>BreakPoint!N18</f>
        <v/>
      </c>
      <c r="N30" s="169" t="n"/>
      <c r="X30" s="12" t="n"/>
    </row>
    <row r="31" ht="24.9" customHeight="1">
      <c r="A31" s="183" t="n"/>
      <c r="B31" s="169" t="n"/>
      <c r="C31" s="186" t="inlineStr">
        <is>
          <t>Temp</t>
        </is>
      </c>
      <c r="D31" s="185">
        <f>BreakPoint!E19</f>
        <v/>
      </c>
      <c r="E31" s="185">
        <f>BreakPoint!F19</f>
        <v/>
      </c>
      <c r="F31" s="185">
        <f>BreakPoint!G19</f>
        <v/>
      </c>
      <c r="G31" s="185">
        <f>BreakPoint!H19</f>
        <v/>
      </c>
      <c r="H31" s="185">
        <f>BreakPoint!I19</f>
        <v/>
      </c>
      <c r="I31" s="185">
        <f>BreakPoint!J19</f>
        <v/>
      </c>
      <c r="J31" s="185">
        <f>BreakPoint!K19</f>
        <v/>
      </c>
      <c r="K31" s="185">
        <f>BreakPoint!L19</f>
        <v/>
      </c>
      <c r="L31" s="185">
        <f>BreakPoint!M19</f>
        <v/>
      </c>
      <c r="M31" s="185">
        <f>BreakPoint!N19</f>
        <v/>
      </c>
      <c r="N31" s="169" t="n"/>
      <c r="W31" s="19" t="n"/>
      <c r="X31" s="19" t="n"/>
      <c r="AA31" s="19" t="n"/>
    </row>
    <row r="32" ht="24.9" customHeight="1">
      <c r="A32" s="169" t="n"/>
      <c r="B32" s="169" t="n"/>
      <c r="C32" s="186" t="inlineStr">
        <is>
          <t>PH</t>
        </is>
      </c>
      <c r="D32" s="185">
        <f>BreakPoint!E20</f>
        <v/>
      </c>
      <c r="E32" s="185">
        <f>BreakPoint!F20</f>
        <v/>
      </c>
      <c r="F32" s="185">
        <f>BreakPoint!G20</f>
        <v/>
      </c>
      <c r="G32" s="185">
        <f>BreakPoint!H20</f>
        <v/>
      </c>
      <c r="H32" s="185">
        <f>BreakPoint!I20</f>
        <v/>
      </c>
      <c r="I32" s="185">
        <f>BreakPoint!J20</f>
        <v/>
      </c>
      <c r="J32" s="185">
        <f>BreakPoint!K20</f>
        <v/>
      </c>
      <c r="K32" s="185">
        <f>BreakPoint!L20</f>
        <v/>
      </c>
      <c r="L32" s="185">
        <f>BreakPoint!M20</f>
        <v/>
      </c>
      <c r="M32" s="185">
        <f>BreakPoint!N20</f>
        <v/>
      </c>
      <c r="N32" s="169" t="n"/>
    </row>
    <row r="33" ht="24.9" customHeight="1">
      <c r="A33" s="169" t="n"/>
      <c r="B33" s="169" t="n"/>
      <c r="C33" s="188" t="inlineStr">
        <is>
          <t>Contact Time</t>
        </is>
      </c>
      <c r="D33" s="794" t="inlineStr">
        <is>
          <t>20 min</t>
        </is>
      </c>
      <c r="E33" s="424" t="n"/>
      <c r="F33" s="424" t="n"/>
      <c r="G33" s="424" t="n"/>
      <c r="H33" s="169" t="n"/>
      <c r="I33" s="169" t="n"/>
      <c r="J33" s="169" t="n"/>
      <c r="K33" s="169" t="n"/>
      <c r="L33" s="169" t="n"/>
      <c r="M33" s="169" t="n"/>
      <c r="N33" s="169" t="n"/>
      <c r="R33" s="19" t="n"/>
      <c r="T33" s="19" t="n"/>
    </row>
    <row r="34" ht="24.9" customHeight="1">
      <c r="A34" s="169" t="n"/>
      <c r="B34" s="169" t="n"/>
      <c r="C34" s="188" t="inlineStr">
        <is>
          <t>Residual chlorine</t>
        </is>
      </c>
      <c r="D34" s="424" t="n">
        <v>0.14</v>
      </c>
      <c r="E34" s="424" t="n"/>
      <c r="F34" s="424" t="n"/>
      <c r="G34" s="424" t="n"/>
      <c r="H34" s="169" t="n"/>
      <c r="I34" s="169" t="n"/>
      <c r="J34" s="169" t="n"/>
      <c r="K34" s="169" t="n"/>
      <c r="L34" s="169" t="n"/>
      <c r="M34" s="169" t="n"/>
      <c r="N34" s="169" t="n"/>
    </row>
    <row r="35" ht="24.9" customHeight="1">
      <c r="A35" s="169" t="n"/>
      <c r="B35" s="169" t="n"/>
      <c r="C35" s="188" t="inlineStr">
        <is>
          <t>Chlorine demand</t>
        </is>
      </c>
      <c r="D35" s="424">
        <f>BreakPoint!E25</f>
        <v/>
      </c>
      <c r="E35" s="424" t="n"/>
      <c r="F35" s="424" t="n"/>
      <c r="G35" s="424" t="n"/>
      <c r="H35" s="169" t="n"/>
      <c r="I35" s="169" t="n"/>
      <c r="J35" s="169" t="n"/>
      <c r="K35" s="169" t="n"/>
      <c r="L35" s="169" t="n"/>
      <c r="M35" s="169" t="n"/>
      <c r="N35" s="169" t="n"/>
      <c r="R35" s="19" t="n"/>
    </row>
    <row r="36" ht="24.9" customHeight="1">
      <c r="A36" s="169" t="n"/>
      <c r="B36" s="169" t="n"/>
      <c r="C36" s="188" t="inlineStr">
        <is>
          <t>Chlorine Requirement</t>
        </is>
      </c>
      <c r="D36" s="424" t="n">
        <v>6.5</v>
      </c>
      <c r="E36" s="714" t="inlineStr">
        <is>
          <t>Chlorine Dose</t>
        </is>
      </c>
      <c r="F36" s="582" t="n"/>
      <c r="G36" s="582" t="n"/>
      <c r="H36" s="169" t="n"/>
      <c r="I36" s="169" t="n"/>
      <c r="J36" s="169" t="n"/>
      <c r="K36" s="169" t="n"/>
      <c r="L36" s="169" t="n"/>
      <c r="M36" s="169" t="n"/>
      <c r="N36" s="169" t="n"/>
    </row>
    <row r="37" ht="24.9" customHeight="1">
      <c r="A37" s="169" t="n"/>
      <c r="B37" s="169" t="n"/>
      <c r="C37" s="169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69" t="n"/>
      <c r="M37" s="169" t="n"/>
      <c r="N37" s="169" t="n"/>
      <c r="P37" s="19" t="n"/>
    </row>
    <row r="38" ht="24.9" customHeight="1">
      <c r="A38" s="169" t="n"/>
      <c r="B38" s="169" t="n"/>
      <c r="C38" s="169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69" t="n"/>
      <c r="M38" s="169" t="n"/>
      <c r="N38" s="169" t="n"/>
      <c r="P38" s="19" t="n"/>
    </row>
    <row r="39" ht="24.9" customHeight="1">
      <c r="A39" s="169" t="n"/>
      <c r="B39" s="169" t="n"/>
      <c r="C39" s="169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69" t="n"/>
      <c r="M39" s="169" t="n"/>
      <c r="N39" s="169" t="n"/>
      <c r="P39" s="19" t="n"/>
    </row>
    <row r="40" ht="24.9" customHeight="1">
      <c r="A40" s="169" t="n"/>
      <c r="B40" s="169" t="n"/>
      <c r="C40" s="169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69" t="n"/>
      <c r="M40" s="169" t="n"/>
      <c r="N40" s="169" t="n"/>
      <c r="P40" s="19" t="n"/>
    </row>
    <row r="41" ht="24.9" customHeight="1">
      <c r="A41" s="169" t="n"/>
      <c r="B41" s="169" t="n"/>
      <c r="C41" s="169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69" t="n"/>
      <c r="M41" s="169" t="n"/>
      <c r="N41" s="169" t="n"/>
      <c r="P41" s="19" t="n"/>
    </row>
    <row r="42" ht="24.9" customHeight="1">
      <c r="A42" s="169" t="n"/>
      <c r="B42" s="169" t="n"/>
      <c r="C42" s="169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69" t="n"/>
      <c r="M42" s="169" t="n"/>
      <c r="N42" s="169" t="n"/>
      <c r="P42" s="19" t="n"/>
    </row>
    <row r="43" ht="24.9" customHeight="1">
      <c r="A43" s="169" t="n"/>
      <c r="B43" s="169" t="n"/>
      <c r="C43" s="169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69" t="n"/>
      <c r="M43" s="169" t="n"/>
      <c r="N43" s="169" t="n"/>
      <c r="P43" s="19" t="n"/>
    </row>
    <row r="44" ht="24.9" customHeight="1">
      <c r="A44" s="169" t="n"/>
      <c r="B44" s="169" t="n"/>
      <c r="C44" s="169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69" t="n"/>
      <c r="M44" s="169" t="n"/>
      <c r="N44" s="169" t="n"/>
      <c r="P44" s="19" t="n"/>
    </row>
    <row r="45" ht="24.9" customHeight="1">
      <c r="A45" s="169" t="n"/>
      <c r="B45" s="169" t="n"/>
      <c r="C45" s="169" t="n"/>
      <c r="D45" s="169" t="n"/>
      <c r="E45" s="169" t="n"/>
      <c r="F45" s="68" t="n"/>
      <c r="G45" s="169" t="n"/>
      <c r="H45" s="169" t="n"/>
      <c r="I45" s="169" t="n"/>
      <c r="J45" s="169" t="n"/>
      <c r="K45" s="169" t="n"/>
      <c r="L45" s="68" t="n"/>
      <c r="M45" s="169" t="n"/>
      <c r="N45" s="169" t="n"/>
    </row>
    <row r="46" ht="24.9" customHeight="1">
      <c r="A46" s="169" t="n"/>
      <c r="B46" s="183" t="n"/>
      <c r="C46" s="183" t="n"/>
      <c r="D46" s="169" t="n"/>
      <c r="E46" s="169" t="n"/>
      <c r="F46" s="169" t="n"/>
      <c r="G46" s="169" t="n"/>
      <c r="H46" s="183" t="n"/>
      <c r="I46" s="183" t="n"/>
      <c r="J46" s="169" t="n"/>
      <c r="K46" s="169" t="n"/>
      <c r="L46" s="169" t="n"/>
      <c r="M46" s="169" t="n"/>
      <c r="N46" s="183" t="n"/>
      <c r="O46" s="26" t="n"/>
      <c r="R46" s="49" t="n"/>
      <c r="S46" s="49" t="n"/>
    </row>
    <row r="47" ht="24.9" customHeight="1">
      <c r="A47" s="169" t="n"/>
      <c r="B47" s="169" t="n"/>
      <c r="C47" s="169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69" t="n"/>
      <c r="M47" s="169" t="n"/>
      <c r="N47" s="169" t="n"/>
      <c r="P47" s="49" t="n"/>
    </row>
    <row r="48" ht="24.9" customHeight="1">
      <c r="A48" s="169" t="n"/>
      <c r="B48" s="169" t="n"/>
      <c r="C48" s="169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69" t="n"/>
      <c r="M48" s="169" t="n"/>
      <c r="N48" s="169" t="n"/>
      <c r="T48" s="19" t="n"/>
    </row>
    <row r="49" ht="24.9" customHeight="1">
      <c r="A49" s="169" t="n"/>
      <c r="B49" s="602" t="n"/>
      <c r="C49" s="582" t="n"/>
      <c r="D49" s="582" t="n"/>
      <c r="E49" s="582" t="n"/>
      <c r="F49" s="582" t="n"/>
      <c r="G49" s="708" t="n"/>
      <c r="H49" s="582" t="n"/>
      <c r="I49" s="582" t="n"/>
      <c r="J49" s="582" t="n"/>
      <c r="K49" s="582" t="n"/>
      <c r="L49" s="582" t="n"/>
      <c r="M49" s="582" t="n"/>
      <c r="N49" s="582" t="n"/>
      <c r="O49" s="49" t="n"/>
      <c r="Q49" s="19" t="n"/>
    </row>
    <row r="50" ht="24.9" customHeight="1">
      <c r="A50" s="169" t="n"/>
      <c r="B50" s="602" t="n"/>
      <c r="C50" s="582" t="n"/>
      <c r="D50" s="582" t="n"/>
      <c r="E50" s="582" t="n"/>
      <c r="F50" s="582" t="n"/>
      <c r="G50" s="708" t="n"/>
      <c r="H50" s="582" t="n"/>
      <c r="I50" s="582" t="n"/>
      <c r="J50" s="582" t="n"/>
      <c r="K50" s="582" t="n"/>
      <c r="L50" s="582" t="n"/>
      <c r="M50" s="582" t="n"/>
      <c r="N50" s="582" t="n"/>
    </row>
    <row r="51" ht="24.9" customHeight="1">
      <c r="A51" s="169" t="n"/>
      <c r="B51" s="169" t="n"/>
      <c r="C51" s="169" t="n"/>
      <c r="D51" s="169" t="n"/>
      <c r="E51" s="169" t="n"/>
      <c r="F51" s="169" t="n"/>
      <c r="G51" s="169" t="n"/>
      <c r="H51" s="169" t="n"/>
      <c r="I51" s="169" t="n"/>
      <c r="J51" s="169" t="n"/>
      <c r="K51" s="169" t="n"/>
      <c r="L51" s="169" t="n"/>
      <c r="M51" s="169" t="n"/>
      <c r="N51" s="169" t="n"/>
    </row>
    <row r="52" ht="18.75" customHeight="1">
      <c r="A52" s="169" t="n"/>
      <c r="B52" s="169" t="inlineStr">
        <is>
          <t>Analyzed by</t>
        </is>
      </c>
      <c r="C52" s="169" t="n"/>
      <c r="D52" s="169" t="n"/>
      <c r="E52" s="169" t="n"/>
      <c r="F52" s="169" t="n"/>
      <c r="G52" s="169" t="n"/>
      <c r="H52" s="169" t="n"/>
      <c r="I52" s="169" t="n"/>
      <c r="J52" s="169" t="inlineStr">
        <is>
          <t>Reviewed by</t>
        </is>
      </c>
      <c r="K52" s="169" t="n"/>
      <c r="L52" s="169" t="n"/>
      <c r="M52" s="169" t="n"/>
      <c r="N52" s="169" t="n"/>
    </row>
    <row r="53" ht="18.75" customHeight="1">
      <c r="A53" s="169" t="n"/>
      <c r="B53" s="169" t="n"/>
      <c r="C53" s="169" t="n"/>
      <c r="D53" s="169" t="n"/>
      <c r="E53" s="169" t="n"/>
      <c r="F53" s="169" t="n"/>
      <c r="G53" s="169" t="n"/>
      <c r="H53" s="169" t="n"/>
      <c r="I53" s="169" t="n"/>
      <c r="J53" s="169" t="n"/>
      <c r="K53" s="169" t="n"/>
      <c r="L53" s="169" t="n"/>
      <c r="M53" s="169" t="n"/>
      <c r="N53" s="169" t="n"/>
      <c r="S53" s="19" t="n"/>
    </row>
    <row r="54" ht="18.75" customHeight="1">
      <c r="A54" s="169" t="n"/>
      <c r="B54" s="169" t="n"/>
      <c r="C54" s="169" t="n"/>
      <c r="D54" s="169" t="n"/>
      <c r="E54" s="169" t="n"/>
      <c r="F54" s="169" t="n"/>
      <c r="G54" s="169" t="n"/>
      <c r="H54" s="169" t="n"/>
      <c r="I54" s="169" t="n"/>
      <c r="J54" s="169" t="n"/>
      <c r="K54" s="169" t="n"/>
      <c r="L54" s="169" t="n"/>
      <c r="M54" s="169" t="n"/>
      <c r="N54" s="169" t="n"/>
    </row>
    <row r="55" ht="18.75" customHeight="1">
      <c r="A55" s="169" t="n"/>
      <c r="B55" s="169" t="n"/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69" t="n"/>
      <c r="L55" s="169" t="n"/>
      <c r="M55" s="169" t="n"/>
      <c r="N55" s="169" t="n"/>
    </row>
    <row r="56">
      <c r="A56" s="169" t="n"/>
      <c r="B56" s="169" t="n"/>
      <c r="C56" s="169" t="n"/>
      <c r="D56" s="169" t="n"/>
      <c r="E56" s="169" t="n"/>
      <c r="F56" s="169" t="n"/>
      <c r="G56" s="169" t="n"/>
      <c r="H56" s="169" t="n"/>
      <c r="I56" s="169" t="n"/>
      <c r="J56" s="169" t="n"/>
      <c r="K56" s="169" t="n"/>
      <c r="L56" s="169" t="n"/>
      <c r="M56" s="169" t="n"/>
      <c r="N56" s="169" t="n"/>
    </row>
    <row r="57">
      <c r="A57" s="169" t="n"/>
      <c r="B57" s="169" t="n"/>
      <c r="C57" s="169" t="n"/>
      <c r="D57" s="169" t="n"/>
      <c r="E57" s="169" t="n"/>
      <c r="F57" s="169" t="n"/>
      <c r="G57" s="169" t="n"/>
      <c r="H57" s="169" t="n"/>
      <c r="I57" s="169" t="n"/>
      <c r="J57" s="169" t="n"/>
      <c r="K57" s="169" t="n"/>
      <c r="L57" s="169" t="n"/>
      <c r="M57" s="169" t="n"/>
      <c r="N57" s="169" t="n"/>
    </row>
    <row r="58" ht="18" customHeight="1" thickBot="1">
      <c r="A58" s="189" t="n"/>
      <c r="B58" s="189" t="n"/>
      <c r="C58" s="189" t="n"/>
      <c r="D58" s="189" t="n"/>
      <c r="E58" s="189" t="n"/>
      <c r="F58" s="189" t="n"/>
      <c r="G58" s="189" t="n"/>
      <c r="H58" s="189" t="n"/>
      <c r="I58" s="189" t="n"/>
      <c r="J58" s="189" t="n"/>
      <c r="K58" s="189" t="n"/>
      <c r="L58" s="189" t="n"/>
      <c r="M58" s="189" t="n"/>
      <c r="N58" s="189" t="n"/>
      <c r="V58" s="51" t="n"/>
    </row>
    <row r="59" ht="18" customHeight="1" thickTop="1">
      <c r="V59" s="51" t="n"/>
    </row>
    <row r="60" ht="17.4" customHeight="1">
      <c r="V60" s="51" t="n"/>
    </row>
    <row r="61" ht="17.4" customHeight="1">
      <c r="V61" s="51" t="n"/>
    </row>
    <row r="62" ht="17.4" customHeight="1">
      <c r="V62" s="51" t="n"/>
    </row>
    <row r="63" ht="17.4" customHeight="1">
      <c r="V63" s="51" t="n"/>
    </row>
    <row r="64" ht="17.4" customHeight="1">
      <c r="V64" s="51" t="n"/>
    </row>
    <row r="65" ht="17.4" customHeight="1">
      <c r="V65" s="51" t="n"/>
    </row>
    <row r="66" ht="17.4" customHeight="1">
      <c r="V66" s="51" t="n"/>
    </row>
    <row r="67" ht="17.4" customHeight="1">
      <c r="P67" s="19" t="n"/>
      <c r="V67" s="51" t="n"/>
    </row>
    <row r="68">
      <c r="P68" s="190" t="n"/>
    </row>
    <row r="69">
      <c r="P69" s="190" t="n"/>
    </row>
    <row r="70">
      <c r="P70" s="190" t="n"/>
    </row>
  </sheetData>
  <sheetProtection selectLockedCells="0" selectUnlockedCells="0" algorithmName="SHA-512" sheet="1" objects="1" insertRows="1" insertHyperlinks="0" autoFilter="1" scenarios="1" formatColumns="0" deleteColumns="1" insertColumns="1" pivotTables="1" deleteRows="1" formatCells="0" saltValue="ef83wpU3O9F0WazB1AlC+w==" formatRows="0" sort="1" spinCount="100000" hashValue="OXoU6P675mwMSNuykkXg6HFK+G3svEnnkyNi/cbJgbAicBUz1rN6n1eCVw44LSg7DqYnyzl2Go/mFCoOvzMhrA=="/>
  <mergeCells count="24">
    <mergeCell ref="B25:C25"/>
    <mergeCell ref="C9:K9"/>
    <mergeCell ref="H11:J11"/>
    <mergeCell ref="E36:G36"/>
    <mergeCell ref="K3:N3"/>
    <mergeCell ref="I5:N5"/>
    <mergeCell ref="A7:E7"/>
    <mergeCell ref="A5:F5"/>
    <mergeCell ref="H13:J13"/>
    <mergeCell ref="D11:E11"/>
    <mergeCell ref="B14:C14"/>
    <mergeCell ref="A4:F4"/>
    <mergeCell ref="I4:N4"/>
    <mergeCell ref="G3:H5"/>
    <mergeCell ref="G49:N49"/>
    <mergeCell ref="J7:N7"/>
    <mergeCell ref="K11:N11"/>
    <mergeCell ref="D13:G13"/>
    <mergeCell ref="B49:F49"/>
    <mergeCell ref="A11:C11"/>
    <mergeCell ref="B20:C20"/>
    <mergeCell ref="A3:D3"/>
    <mergeCell ref="G50:N50"/>
    <mergeCell ref="B50:F50"/>
  </mergeCells>
  <pageMargins left="0.748030402449694" right="0.748030402449694" top="0.984251968503937" bottom="0.984251968503937" header="0.511809930008749" footer="0.511809930008749"/>
  <pageSetup orientation="landscape" paperSize="9" scale="4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codeName="Sheet11">
    <outlinePr summaryBelow="1" summaryRight="1"/>
    <pageSetUpPr fitToPage="1"/>
  </sheetPr>
  <dimension ref="A1:U28"/>
  <sheetViews>
    <sheetView topLeftCell="A14" zoomScale="106" zoomScaleNormal="106" workbookViewId="0">
      <selection activeCell="H24" sqref="H24:I27"/>
    </sheetView>
  </sheetViews>
  <sheetFormatPr baseColWidth="8" defaultColWidth="9.109375" defaultRowHeight="13.2"/>
  <cols>
    <col width="52.109375" customWidth="1" style="534" min="1" max="1"/>
    <col width="9.109375" customWidth="1" style="534" min="2" max="2"/>
    <col width="18.33203125" customWidth="1" style="534" min="3" max="4"/>
    <col width="18.109375" customWidth="1" style="534" min="5" max="5"/>
    <col width="18.33203125" customWidth="1" style="534" min="6" max="7"/>
    <col width="18.109375" customWidth="1" style="534" min="8" max="8"/>
    <col width="9.109375" customWidth="1" style="534" min="9" max="11"/>
    <col width="10.109375" bestFit="1" customWidth="1" style="534" min="12" max="12"/>
    <col width="16.5546875" customWidth="1" style="534" min="13" max="13"/>
    <col width="17.5546875" customWidth="1" style="534" min="14" max="14"/>
    <col width="18.44140625" customWidth="1" style="534" min="15" max="15"/>
    <col width="16.5546875" customWidth="1" style="534" min="16" max="16"/>
    <col width="23.6640625" customWidth="1" style="534" min="17" max="17"/>
    <col width="20.44140625" customWidth="1" style="534" min="18" max="18"/>
    <col width="14" bestFit="1" customWidth="1" style="534" min="19" max="19"/>
    <col width="17.109375" bestFit="1" customWidth="1" style="534" min="20" max="20"/>
    <col width="16.44140625" bestFit="1" customWidth="1" style="534" min="21" max="21"/>
    <col width="9.109375" customWidth="1" style="534" min="22" max="23"/>
    <col width="9.109375" customWidth="1" style="534" min="24" max="16384"/>
  </cols>
  <sheetData>
    <row r="1" ht="17.4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P1" s="116" t="n"/>
    </row>
    <row r="2" ht="17.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P2" s="116" t="n"/>
    </row>
    <row r="3" ht="17.4" customHeight="1">
      <c r="A3" s="49" t="inlineStr">
        <is>
          <t>Holding Company</t>
        </is>
      </c>
      <c r="B3" s="49" t="n"/>
      <c r="C3" s="49" t="n"/>
      <c r="D3" s="49" t="n"/>
      <c r="E3" s="116" t="n"/>
      <c r="F3" s="116" t="n"/>
      <c r="G3" s="117" t="inlineStr">
        <is>
          <t xml:space="preserve">                        الشركة القابضة</t>
        </is>
      </c>
      <c r="H3" s="1" t="n"/>
      <c r="I3" s="1" t="n"/>
      <c r="J3" s="1" t="n"/>
      <c r="L3" s="9" t="n"/>
      <c r="M3" s="9" t="n"/>
      <c r="N3" s="9" t="n"/>
      <c r="P3" s="116" t="n"/>
    </row>
    <row r="4" ht="17.4" customHeight="1">
      <c r="A4" s="49" t="inlineStr">
        <is>
          <t>Fayoum drinking Water and Sanitation Company</t>
        </is>
      </c>
      <c r="B4" s="116" t="n"/>
      <c r="C4" s="116" t="n"/>
      <c r="D4" s="116" t="n"/>
      <c r="E4" s="116" t="n"/>
      <c r="F4" s="116" t="n"/>
      <c r="G4" s="117" t="inlineStr">
        <is>
          <t>شركة مياه الشرب والصرف الصحى بالفيوم</t>
        </is>
      </c>
      <c r="H4" s="1" t="n"/>
      <c r="J4" s="1" t="n"/>
      <c r="K4" s="1" t="n"/>
      <c r="L4" s="1" t="n"/>
      <c r="M4" s="1" t="n"/>
      <c r="N4" s="1" t="n"/>
    </row>
    <row r="5" ht="24.9" customHeight="1" thickBot="1">
      <c r="A5" s="191" t="n"/>
      <c r="B5" s="191" t="n"/>
      <c r="C5" s="191" t="n"/>
      <c r="D5" s="191" t="n"/>
      <c r="E5" s="191" t="n"/>
      <c r="F5" s="191" t="n"/>
      <c r="G5" s="192" t="inlineStr">
        <is>
          <t>قطاع المعامل - الادارة العامة لمعامل الصرف الصحى</t>
        </is>
      </c>
      <c r="H5" s="193" t="n"/>
      <c r="J5" s="194" t="n"/>
      <c r="K5" s="194" t="n"/>
      <c r="L5" s="194" t="n"/>
      <c r="M5" s="194" t="n"/>
      <c r="N5" s="194" t="n"/>
    </row>
    <row r="6" ht="24.9" customHeight="1">
      <c r="A6" s="664" t="inlineStr">
        <is>
          <t>TOTAL SUSPENDED SOLIDS ( TS &amp; VS  ) WORK SHEET</t>
        </is>
      </c>
      <c r="B6" s="650" t="n"/>
      <c r="C6" s="650" t="n"/>
      <c r="D6" s="725">
        <f>Sulfide!D6</f>
        <v/>
      </c>
      <c r="E6" s="726" t="n"/>
      <c r="F6" s="195" t="inlineStr">
        <is>
          <t xml:space="preserve">FORM ID:               </t>
        </is>
      </c>
      <c r="G6" s="663" t="n"/>
      <c r="H6" s="647" t="n"/>
    </row>
    <row r="7" ht="24.9" customHeight="1">
      <c r="A7" s="651" t="inlineStr">
        <is>
          <t>20th EDITION, of The Standard Method for the Examination of Water and Wastewater</t>
        </is>
      </c>
      <c r="B7" s="539" t="n"/>
      <c r="C7" s="539" t="n"/>
      <c r="D7" s="720">
        <f>Sulfide!D7</f>
        <v/>
      </c>
      <c r="E7" s="621" t="n"/>
      <c r="F7" s="196" t="inlineStr">
        <is>
          <t>SAMPLE DATE:</t>
        </is>
      </c>
      <c r="G7" s="659">
        <f>Main!D11</f>
        <v/>
      </c>
      <c r="H7" s="569" t="n"/>
    </row>
    <row r="8" ht="24.9" customHeight="1" thickBot="1">
      <c r="A8" s="660" t="inlineStr">
        <is>
          <t xml:space="preserve"> PROCEDURE NUMBER 2450 B &amp; 2540 G</t>
        </is>
      </c>
      <c r="B8" s="661" t="n"/>
      <c r="C8" s="661" t="n"/>
      <c r="D8" s="388">
        <f>Sulfide!D8</f>
        <v/>
      </c>
      <c r="E8" s="391" t="n"/>
      <c r="F8" s="199" t="inlineStr">
        <is>
          <t xml:space="preserve">  ANALYSIS DATE:</t>
        </is>
      </c>
      <c r="G8" s="655">
        <f>Main!K11</f>
        <v/>
      </c>
      <c r="H8" s="656" t="n"/>
      <c r="L8" s="348" t="inlineStr">
        <is>
          <t>S.N.</t>
        </is>
      </c>
      <c r="M8" s="349" t="inlineStr">
        <is>
          <t>WEIGHT 1</t>
        </is>
      </c>
      <c r="N8" s="349" t="inlineStr">
        <is>
          <t>Correcttion 1</t>
        </is>
      </c>
      <c r="O8" s="350" t="inlineStr">
        <is>
          <t>Net weight 1</t>
        </is>
      </c>
      <c r="P8" s="350" t="inlineStr">
        <is>
          <t>WEIGHT2</t>
        </is>
      </c>
      <c r="Q8" s="350" t="inlineStr">
        <is>
          <t>Correcttion2</t>
        </is>
      </c>
      <c r="R8" s="350" t="inlineStr">
        <is>
          <t>Net weight 2</t>
        </is>
      </c>
      <c r="S8" s="349" t="inlineStr">
        <is>
          <t>WEIGHT3</t>
        </is>
      </c>
      <c r="T8" s="349" t="inlineStr">
        <is>
          <t>Correcttion3</t>
        </is>
      </c>
      <c r="U8" s="349" t="inlineStr">
        <is>
          <t>Net weight3</t>
        </is>
      </c>
    </row>
    <row r="9" ht="24.9" customHeight="1">
      <c r="A9" s="649" t="inlineStr">
        <is>
          <t xml:space="preserve"> (1) SAMPLE TYPE/ ID</t>
        </is>
      </c>
      <c r="B9" s="650" t="n"/>
      <c r="C9" s="200" t="inlineStr">
        <is>
          <t>Influent</t>
        </is>
      </c>
      <c r="D9" s="200" t="inlineStr">
        <is>
          <t>Effluent</t>
        </is>
      </c>
      <c r="E9" s="200" t="inlineStr">
        <is>
          <t>Thickenner</t>
        </is>
      </c>
      <c r="F9" s="200" t="inlineStr">
        <is>
          <t>Influent</t>
        </is>
      </c>
      <c r="G9" s="200" t="inlineStr">
        <is>
          <t>Mix</t>
        </is>
      </c>
      <c r="H9" s="200" t="inlineStr">
        <is>
          <t>Mix</t>
        </is>
      </c>
      <c r="L9" s="351" t="n"/>
      <c r="M9" s="352" t="n"/>
      <c r="N9" s="353">
        <f>IFERROR(IF(ISBLANK(Table11[[#This Row],[S.N.]]),"",VLOOKUP(ROUND(Table11[[#This Row],[WEIGHT 1]],0),Radwag[],3,Radwag[[#This Row],[Weigh]])),"")</f>
        <v/>
      </c>
      <c r="O9" s="777">
        <f>IFERROR(Table11[[#This Row],[WEIGHT 1]]+Table11[[#This Row],[Correcttion 1]],"")</f>
        <v/>
      </c>
      <c r="P9" s="777" t="n"/>
      <c r="Q9" s="777">
        <f>IFERROR(IF(ISBLANK(Table11[[#This Row],[WEIGHT2]]),"",VLOOKUP(ROUND(Table11[[#This Row],[WEIGHT2]],0),Radwag[],3,Radwag[[#This Row],[Weigh]])),"")</f>
        <v/>
      </c>
      <c r="R9" s="777">
        <f>IFERROR(Table11[[#This Row],[WEIGHT2]]+Table11[[#This Row],[Correcttion2]],"")</f>
        <v/>
      </c>
      <c r="S9" s="352" t="n"/>
      <c r="T9" s="353">
        <f>IFERROR(IF(ISBLANK(Table11[[#This Row],[WEIGHT3]]),"",VLOOKUP(ROUND(Table11[[#This Row],[WEIGHT3]],0),Radwag[],3,Radwag[[#This Row],[Weigh]])),"")</f>
        <v/>
      </c>
      <c r="U9" s="777">
        <f>IFERROR(Table11[[#This Row],[WEIGHT3]]+Table11[[#This Row],[Correcttion3]],"")</f>
        <v/>
      </c>
    </row>
    <row r="10" ht="24.9" customHeight="1">
      <c r="A10" s="723" t="inlineStr">
        <is>
          <t xml:space="preserve"> (2) CRUCIBLE NUMBER</t>
        </is>
      </c>
      <c r="B10" s="550" t="n"/>
      <c r="C10" s="97">
        <f>IF(ISBLANK($L$9),"",$L$9)</f>
        <v/>
      </c>
      <c r="D10" s="97">
        <f>IF(ISBLANK($L$10),"",$L$10)</f>
        <v/>
      </c>
      <c r="E10" s="97">
        <f>IF(ISBLANK($L$11),"",$L$11)</f>
        <v/>
      </c>
      <c r="F10" s="97">
        <f>IF(ISBLANK($L$12),"",$L$12)</f>
        <v/>
      </c>
      <c r="G10" s="97">
        <f>IF(ISBLANK($L$13),"",$L$13)</f>
        <v/>
      </c>
      <c r="H10" s="97">
        <f>IF(ISBLANK($L$14),"",$L$14)</f>
        <v/>
      </c>
      <c r="L10" s="354" t="n"/>
      <c r="M10" s="795" t="n"/>
      <c r="N10" s="356">
        <f>IFERROR(IF(ISBLANK(Table11[[#This Row],[S.N.]]),"",VLOOKUP(ROUND(Table11[[#This Row],[WEIGHT 1]],0),Radwag[],3,Radwag[[#This Row],[Weigh]])),"")</f>
        <v/>
      </c>
      <c r="O10" s="357">
        <f>IFERROR(Table11[[#This Row],[WEIGHT 1]]+Table11[[#This Row],[Correcttion 1]],"")</f>
        <v/>
      </c>
      <c r="P10" s="357" t="n"/>
      <c r="Q10" s="795">
        <f>IFERROR(IF(ISBLANK(Table11[[#This Row],[WEIGHT2]]),"",VLOOKUP(ROUND(Table11[[#This Row],[WEIGHT2]],0),Radwag[],3,Radwag[[#This Row],[Weigh]])),"")</f>
        <v/>
      </c>
      <c r="R10" s="795">
        <f>IFERROR(Table11[[#This Row],[WEIGHT2]]+Table11[[#This Row],[Correcttion2]],"")</f>
        <v/>
      </c>
      <c r="S10" s="795" t="n"/>
      <c r="T10" s="356">
        <f>IFERROR(IF(ISBLANK(Table11[[#This Row],[WEIGHT3]]),"",VLOOKUP(ROUND(Table11[[#This Row],[WEIGHT3]],0),Radwag[],3,Radwag[[#This Row],[Weigh]])),"")</f>
        <v/>
      </c>
      <c r="U10" s="795">
        <f>IFERROR(Table11[[#This Row],[WEIGHT3]]+Table11[[#This Row],[Correcttion3]],"")</f>
        <v/>
      </c>
    </row>
    <row r="11" ht="24.9" customHeight="1">
      <c r="A11" s="653" t="inlineStr">
        <is>
          <t xml:space="preserve"> (3) SAMPLE VOLUME, ml</t>
        </is>
      </c>
      <c r="B11" s="550" t="n"/>
      <c r="C11" s="204" t="n"/>
      <c r="D11" s="204" t="n"/>
      <c r="E11" s="204" t="n"/>
      <c r="F11" s="204" t="n"/>
      <c r="G11" s="204" t="n"/>
      <c r="H11" s="204" t="n"/>
      <c r="L11" s="351" t="n"/>
      <c r="M11" s="352" t="n"/>
      <c r="N11" s="353">
        <f>IFERROR(IF(ISBLANK(Table11[[#This Row],[S.N.]]),"",VLOOKUP(ROUND(Table11[[#This Row],[WEIGHT 1]],0),Radwag[],3,Radwag[[#This Row],[Weigh]])),"")</f>
        <v/>
      </c>
      <c r="O11" s="777">
        <f>IFERROR(Table11[[#This Row],[WEIGHT 1]]+Table11[[#This Row],[Correcttion 1]],"")</f>
        <v/>
      </c>
      <c r="P11" s="411" t="n"/>
      <c r="Q11" s="777">
        <f>IFERROR(IF(ISBLANK(Table11[[#This Row],[WEIGHT2]]),"",VLOOKUP(ROUND(Table11[[#This Row],[WEIGHT2]],0),Radwag[],3,Radwag[[#This Row],[Weigh]])),"")</f>
        <v/>
      </c>
      <c r="R11" s="777">
        <f>IFERROR(Table11[[#This Row],[WEIGHT2]]+Table11[[#This Row],[Correcttion2]],"")</f>
        <v/>
      </c>
      <c r="S11" s="352" t="n"/>
      <c r="T11" s="353">
        <f>IFERROR(IF(ISBLANK(Table11[[#This Row],[WEIGHT3]]),"",VLOOKUP(ROUND(Table11[[#This Row],[WEIGHT3]],0),Radwag[],3,Radwag[[#This Row],[Weigh]])),"")</f>
        <v/>
      </c>
      <c r="U11" s="777">
        <f>IFERROR(Table11[[#This Row],[WEIGHT3]]+Table11[[#This Row],[Correcttion3]],"")</f>
        <v/>
      </c>
    </row>
    <row r="12" ht="24.9" customHeight="1">
      <c r="A12" s="641" t="inlineStr">
        <is>
          <t xml:space="preserve"> (4) TARE WT. OF DRY CRUCIBLE /CRUCIBLE   g</t>
        </is>
      </c>
      <c r="B12" s="550" t="n"/>
      <c r="C12" s="796">
        <f>IF($C$10="","",IF(ISBLANK($O$9),"",$O$9))</f>
        <v/>
      </c>
      <c r="D12" s="796">
        <f>IF($D$10="","",IF(ISBLANK($O$10),"",$O$10))</f>
        <v/>
      </c>
      <c r="E12" s="796">
        <f>IF($E$10="","",IF(ISBLANK($O$11),"",$O$11))</f>
        <v/>
      </c>
      <c r="F12" s="796">
        <f>IF($F$10="","",IF(ISBLANK($O$12),"",$O$12))</f>
        <v/>
      </c>
      <c r="G12" s="796">
        <f>IF($G$10="","",IF(ISBLANK($O$13),"",$O$13))</f>
        <v/>
      </c>
      <c r="H12" s="796">
        <f>IF($H$10="","",IF(ISBLANK($O$14),"",$O$14))</f>
        <v/>
      </c>
      <c r="L12" s="359" t="n"/>
      <c r="M12" s="360" t="n"/>
      <c r="N12" s="361">
        <f>IFERROR(IF(ISBLANK(Table11[[#This Row],[S.N.]]),"",VLOOKUP(ROUND(Table11[[#This Row],[WEIGHT 1]],0),Radwag[],3,Radwag[[#This Row],[Weigh]])),"")</f>
        <v/>
      </c>
      <c r="O12" s="362">
        <f>IFERROR(Table11[[#This Row],[WEIGHT 1]]+Table11[[#This Row],[Correcttion 1]],"")</f>
        <v/>
      </c>
      <c r="P12" s="362" t="n"/>
      <c r="Q12" s="797">
        <f>IFERROR(IF(ISBLANK(Table11[[#This Row],[WEIGHT2]]),"",VLOOKUP(ROUND(Table11[[#This Row],[WEIGHT2]],0),Radwag[],3,Radwag[[#This Row],[Weigh]])),"")</f>
        <v/>
      </c>
      <c r="R12" s="797">
        <f>IFERROR(Table11[[#This Row],[WEIGHT2]]+Table11[[#This Row],[Correcttion2]],"")</f>
        <v/>
      </c>
      <c r="S12" s="360" t="n"/>
      <c r="T12" s="361">
        <f>IFERROR(IF(ISBLANK(Table11[[#This Row],[WEIGHT3]]),"",VLOOKUP(ROUND(Table11[[#This Row],[WEIGHT3]],0),Radwag[],3,Radwag[[#This Row],[Weigh]])),"")</f>
        <v/>
      </c>
      <c r="U12" s="797">
        <f>IFERROR(Table11[[#This Row],[WEIGHT3]]+Table11[[#This Row],[Correcttion3]],"")</f>
        <v/>
      </c>
    </row>
    <row r="13" ht="24.9" customHeight="1" thickBot="1">
      <c r="A13" s="648" t="inlineStr">
        <is>
          <t xml:space="preserve"> (5) WT. OF DRY  CRUCIBLE / ASH CRUCIBLE g</t>
        </is>
      </c>
      <c r="B13" s="550" t="n"/>
      <c r="C13" s="798">
        <f>IF($C$10="","",IF(ISBLANK($U$9),"",$U$9))</f>
        <v/>
      </c>
      <c r="D13" s="798">
        <f>IF($D$10="","",IF(ISBLANK($U$10),"",$U$10))</f>
        <v/>
      </c>
      <c r="E13" s="798">
        <f>IF($E$10="","",IF(ISBLANK($U$11),"",$U$11))</f>
        <v/>
      </c>
      <c r="F13" s="798">
        <f>IF($F$10="","",IF(ISBLANK($U$12),"",$U$12))</f>
        <v/>
      </c>
      <c r="G13" s="798">
        <f>IF($G$10="","",IF(ISBLANK($U$13),"",$U$13))</f>
        <v/>
      </c>
      <c r="H13" s="798">
        <f>IF($H$10="","",IF(ISBLANK($U$14),"",$U$14))</f>
        <v/>
      </c>
      <c r="M13" s="299" t="n"/>
      <c r="N13" s="363">
        <f>IFERROR(IF(ISBLANK(Table11[[#This Row],[S.N.]]),"",VLOOKUP(ROUND(Table11[[#This Row],[WEIGHT 1]],0),Radwag[],3,Radwag[[#This Row],[Weigh]])),"")</f>
        <v/>
      </c>
      <c r="O13" s="582">
        <f>IFERROR(Table11[[#This Row],[WEIGHT 1]]+Table11[[#This Row],[Correcttion 1]],"")</f>
        <v/>
      </c>
      <c r="P13" s="582" t="n"/>
      <c r="Q13" s="799">
        <f>IFERROR(IF(ISBLANK(Table11[[#This Row],[WEIGHT2]]),"",VLOOKUP(ROUND(Table11[[#This Row],[WEIGHT2]],0),Radwag[],3,Radwag[[#This Row],[Weigh]])),"")</f>
        <v/>
      </c>
      <c r="R13" s="799">
        <f>IFERROR(Table11[[#This Row],[WEIGHT2]]+Table11[[#This Row],[Correcttion2]],"")</f>
        <v/>
      </c>
      <c r="S13" s="299" t="n"/>
      <c r="T13" s="363">
        <f>IFERROR(IF(ISBLANK(Table11[[#This Row],[WEIGHT3]]),"",VLOOKUP(ROUND(Table11[[#This Row],[WEIGHT3]],0),Radwag[],3,Radwag[[#This Row],[Weigh]])),"")</f>
        <v/>
      </c>
      <c r="U13" s="799">
        <f>IFERROR(Table11[[#This Row],[WEIGHT3]]+Table11[[#This Row],[Correcttion3]],"")</f>
        <v/>
      </c>
    </row>
    <row r="14" ht="24.9" customHeight="1">
      <c r="A14" s="721" t="inlineStr">
        <is>
          <t xml:space="preserve"> (6) WT. OF DRY SOLIDS/ VOLATILE SOLIDS, g = (5) - ( 4)</t>
        </is>
      </c>
      <c r="B14" s="550" t="n"/>
      <c r="C14" s="205">
        <f>IFERROR(IF(C13="","",C13-C12),"")</f>
        <v/>
      </c>
      <c r="D14" s="205">
        <f>IFERROR(IF(D13="","",D13-D12),"")</f>
        <v/>
      </c>
      <c r="E14" s="205">
        <f>IFERROR(IF(E13="","",E13-E12),"")</f>
        <v/>
      </c>
      <c r="F14" s="205">
        <f>IFERROR(IF(F10="","",ABS(F13-F12)),"")</f>
        <v/>
      </c>
      <c r="G14" s="205">
        <f>IFERROR(IF(G10="","",ABS(G13-G12)),"")</f>
        <v/>
      </c>
      <c r="H14" s="205">
        <f>IFERROR(IF(H10="","",ABS(H13-H12)),"")</f>
        <v/>
      </c>
      <c r="M14" s="299" t="n"/>
      <c r="N14" s="363">
        <f>IFERROR(IF(ISBLANK(Table11[[#This Row],[S.N.]]),"",VLOOKUP(ROUND(Table11[[#This Row],[WEIGHT 1]],0),Radwag[],3,Radwag[[#This Row],[Weigh]])),"")</f>
        <v/>
      </c>
      <c r="O14" s="582">
        <f>IFERROR(Table11[[#This Row],[WEIGHT 1]]+Table11[[#This Row],[Correcttion 1]],"")</f>
        <v/>
      </c>
      <c r="P14" s="582" t="n"/>
      <c r="Q14" s="799">
        <f>IFERROR(IF(ISBLANK(Table11[[#This Row],[WEIGHT2]]),"",VLOOKUP(ROUND(Table11[[#This Row],[WEIGHT2]],0),Radwag[],3,Radwag[[#This Row],[Weigh]])),"")</f>
        <v/>
      </c>
      <c r="R14" s="799">
        <f>IFERROR(Table11[[#This Row],[WEIGHT2]]+Table11[[#This Row],[Correcttion2]],"")</f>
        <v/>
      </c>
      <c r="S14" s="299" t="n"/>
      <c r="T14" s="363">
        <f>IFERROR(IF(ISBLANK(Table11[[#This Row],[WEIGHT3]]),"",VLOOKUP(ROUND(Table11[[#This Row],[WEIGHT3]],0),Radwag[],3,Radwag[[#This Row],[Weigh]])),"")</f>
        <v/>
      </c>
      <c r="U14" s="799">
        <f>IFERROR(Table11[[#This Row],[WEIGHT3]]+Table11[[#This Row],[Correcttion3]],"")</f>
        <v/>
      </c>
    </row>
    <row r="15" ht="24.9" customFormat="1" customHeight="1" s="134" thickBot="1">
      <c r="A15" s="724" t="inlineStr">
        <is>
          <t xml:space="preserve"> (7) TS / VS = mg/l (6) X 1,000,000 / (3)</t>
        </is>
      </c>
      <c r="B15" s="537" t="n"/>
      <c r="C15" s="206">
        <f>IFERROR(IF(C13="","",C14*1000000/C11),"")</f>
        <v/>
      </c>
      <c r="D15" s="206">
        <f>IFERROR(IF(D13="","",D14*1000000/D11),"")</f>
        <v/>
      </c>
      <c r="E15" s="206">
        <f>IFERROR(IF(E13="","",E14*1000000/E11),"")</f>
        <v/>
      </c>
      <c r="F15" s="206">
        <f>IFERROR(IF(F12&lt;2,"",F14*1000000/F11),"")</f>
        <v/>
      </c>
      <c r="G15" s="206">
        <f>IFERROR(IF(G12&lt;2,"",G14*1000000/G11),"")</f>
        <v/>
      </c>
      <c r="H15" s="206">
        <f>IFERROR(IF(H13="","",H14*1000000/H11),"")</f>
        <v/>
      </c>
      <c r="I15" s="534" t="n"/>
      <c r="J15" s="534" t="n"/>
      <c r="K15" s="534" t="n"/>
      <c r="L15" s="534" t="n"/>
      <c r="M15" s="300" t="n"/>
      <c r="N15" s="364">
        <f>IFERROR(IF(ISBLANK(Table11[[#This Row],[S.N.]]),"",VLOOKUP(ROUND(Table11[[#This Row],[WEIGHT 1]],0),Radwag[],3,Radwag[[#This Row],[Weigh]])),"")</f>
        <v/>
      </c>
      <c r="O15" s="64">
        <f>IFERROR(Table11[[#This Row],[WEIGHT 1]]+Table11[[#This Row],[Correcttion 1]],"")</f>
        <v/>
      </c>
      <c r="P15" s="64" t="n"/>
      <c r="Q15" s="800">
        <f>IFERROR(IF(ISBLANK(Table11[[#This Row],[WEIGHT2]]),"",VLOOKUP(ROUND(Table11[[#This Row],[WEIGHT2]],0),Radwag[],3,Radwag[[#This Row],[Weigh]])),"")</f>
        <v/>
      </c>
      <c r="R15" s="800">
        <f>IFERROR(Table11[[#This Row],[WEIGHT2]]+Table11[[#This Row],[Correcttion2]],"")</f>
        <v/>
      </c>
      <c r="S15" s="300" t="n"/>
      <c r="T15" s="364">
        <f>IFERROR(IF(ISBLANK(Table11[[#This Row],[WEIGHT3]]),"",VLOOKUP(ROUND(Table11[[#This Row],[WEIGHT3]],0),Radwag[],3,Radwag[[#This Row],[Weigh]])),"")</f>
        <v/>
      </c>
      <c r="U15" s="800">
        <f>IFERROR(Table11[[#This Row],[WEIGHT3]]+Table11[[#This Row],[Correcttion3]],"")</f>
        <v/>
      </c>
    </row>
    <row r="16" ht="24.9" customHeight="1">
      <c r="A16" s="722" t="inlineStr">
        <is>
          <t xml:space="preserve"> (8) % VOLATILE = VS x 100 / TS</t>
        </is>
      </c>
      <c r="B16" s="537" t="n"/>
      <c r="C16" s="207" t="n"/>
      <c r="D16" s="207" t="n"/>
      <c r="E16" s="207" t="n"/>
      <c r="F16" s="207" t="n"/>
      <c r="G16" s="208">
        <f>IFERROR(($G$15/TSS!G27),"")</f>
        <v/>
      </c>
      <c r="H16" s="208">
        <f>IFERROR(($G$15/TSS!H27),"")</f>
        <v/>
      </c>
    </row>
    <row r="17" ht="24.9" customHeight="1">
      <c r="A17" s="722" t="inlineStr">
        <is>
          <t xml:space="preserve"> (9)Thickenner TS% </t>
        </is>
      </c>
      <c r="B17" s="537" t="n"/>
      <c r="C17" s="207" t="n"/>
      <c r="D17" s="207" t="n"/>
      <c r="E17" s="410">
        <f>IFERROR(IF(E13="","",(U11-O11)/(R11-O11)),"")</f>
        <v/>
      </c>
      <c r="F17" s="207" t="n"/>
      <c r="G17" s="207" t="n"/>
      <c r="H17" s="207" t="n"/>
      <c r="I17" s="644" t="n"/>
      <c r="J17" s="534" t="n"/>
    </row>
    <row r="18" ht="24.9" customHeight="1" thickBot="1">
      <c r="D18" s="217" t="inlineStr">
        <is>
          <t>Influent</t>
        </is>
      </c>
      <c r="E18" s="217" t="inlineStr">
        <is>
          <t>Effluent</t>
        </is>
      </c>
      <c r="F18" s="217" t="inlineStr">
        <is>
          <t>Thickenner</t>
        </is>
      </c>
      <c r="G18" s="217" t="inlineStr">
        <is>
          <t>Mix</t>
        </is>
      </c>
      <c r="H18" s="217" t="inlineStr">
        <is>
          <t>RAS</t>
        </is>
      </c>
      <c r="M18" s="773" t="n"/>
      <c r="N18" s="773" t="n"/>
      <c r="O18" s="773" t="n"/>
    </row>
    <row r="19" ht="24.9" customHeight="1" thickBot="1">
      <c r="C19" s="201" t="inlineStr">
        <is>
          <t>Gravimetry</t>
        </is>
      </c>
      <c r="D19" s="209">
        <f>IF(C13&gt;0,HLOOKUP(D18,$C$9:$H$15,7,FALSE),"")</f>
        <v/>
      </c>
      <c r="E19" s="209">
        <f>IF(D13&gt;0,HLOOKUP(E18,$C$9:$H$15,7,FALSE),"")</f>
        <v/>
      </c>
      <c r="F19" s="209">
        <f>IF(E13&gt;0,HLOOKUP(F18,$C$9:$H$15,7,FALSE),"")</f>
        <v/>
      </c>
      <c r="G19" s="248" t="inlineStr">
        <is>
          <t>NO</t>
        </is>
      </c>
      <c r="H19" s="248" t="inlineStr">
        <is>
          <t>NO</t>
        </is>
      </c>
    </row>
    <row r="20" ht="26.25" customHeight="1">
      <c r="C20" s="201" t="inlineStr">
        <is>
          <t>Centrifuge</t>
        </is>
      </c>
      <c r="D20" s="88" t="n"/>
      <c r="E20" s="88" t="n"/>
      <c r="F20" s="88" t="n"/>
      <c r="G20" s="275">
        <f>IF(TSS!G21="","",IF(0.6&lt;=TSS!G21,"True","False"))</f>
        <v/>
      </c>
      <c r="H20" s="275">
        <f>IF(TSS!H21="","",IF(0.6&lt;=TSS!H21,"True","False"))</f>
        <v/>
      </c>
      <c r="N20" s="773" t="n"/>
    </row>
    <row r="21" ht="25.5" customHeight="1">
      <c r="D21" s="209">
        <f>IFERROR(IF(D20&gt;0,D20,D19),"")</f>
        <v/>
      </c>
      <c r="E21" s="209">
        <f>IFERROR(IF(E20&gt;0,E20,E19),"")</f>
        <v/>
      </c>
      <c r="F21" s="209">
        <f>IFERROR(IF(F20&gt;0,F20,F19),"")</f>
        <v/>
      </c>
      <c r="G21" s="97">
        <f>IFERROR(IF(G13="",TSS!G20,IF(G20&gt;0,G20,G20)),"")</f>
        <v/>
      </c>
      <c r="H21" s="97">
        <f>IFERROR(IF(G13="",TSS!H20,IF(H20&gt;0,H20,H20)),"")</f>
        <v/>
      </c>
      <c r="N21" s="773" t="n"/>
    </row>
    <row r="22">
      <c r="N22" s="106" t="n"/>
    </row>
    <row r="24" ht="12.75" customHeight="1">
      <c r="H24" s="638" t="inlineStr">
        <is>
          <t>رجوع</t>
        </is>
      </c>
      <c r="I24" s="534" t="n"/>
    </row>
    <row r="25" ht="12.75" customHeight="1">
      <c r="H25" s="534" t="n"/>
      <c r="I25" s="534" t="n"/>
    </row>
    <row r="26" ht="12.75" customHeight="1">
      <c r="H26" s="534" t="n"/>
      <c r="I26" s="534" t="n"/>
    </row>
    <row r="27" ht="12.75" customHeight="1">
      <c r="H27" s="534" t="n"/>
      <c r="I27" s="534" t="n"/>
    </row>
    <row r="28">
      <c r="G28" s="1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mexkqdlO3SvbfubTVqBtA==" formatRows="1" sort="1" spinCount="100000" hashValue="QczpS7dKN3DKPY6QYGPrq7Y6ZO6Y9MWTdqxutY8MGBRWd8QBcyongebLPQV9UlJWKELmD0MAFOyig//OSY+9fw=="/>
  <mergeCells count="19">
    <mergeCell ref="A15:B15"/>
    <mergeCell ref="A11:B11"/>
    <mergeCell ref="G8:H8"/>
    <mergeCell ref="D6:E6"/>
    <mergeCell ref="A16:B16"/>
    <mergeCell ref="G7:H7"/>
    <mergeCell ref="A8:C8"/>
    <mergeCell ref="G6:H6"/>
    <mergeCell ref="A12:B12"/>
    <mergeCell ref="H24:I27"/>
    <mergeCell ref="D7:E7"/>
    <mergeCell ref="A14:B14"/>
    <mergeCell ref="A17:B17"/>
    <mergeCell ref="I17:J17"/>
    <mergeCell ref="A6:C6"/>
    <mergeCell ref="A10:B10"/>
    <mergeCell ref="A13:B13"/>
    <mergeCell ref="A9:B9"/>
    <mergeCell ref="A7:C7"/>
  </mergeCells>
  <conditionalFormatting sqref="G20:H20">
    <cfRule type="containsText" priority="1" operator="containsText" dxfId="145" text="True">
      <formula>NOT(ISERROR(SEARCH("True",G20)))</formula>
    </cfRule>
    <cfRule type="containsText" priority="2" operator="containsText" dxfId="144" text="False">
      <formula>NOT(ISERROR(SEARCH("False",G20)))</formula>
    </cfRule>
  </conditionalFormatting>
  <dataValidations count="2">
    <dataValidation sqref="G19:H19" showDropDown="0" showInputMessage="1" showErrorMessage="1" allowBlank="1" type="list">
      <formula1>"YES,NO"</formula1>
    </dataValidation>
    <dataValidation sqref="C9:H9 D18:H18" showDropDown="0" showInputMessage="1" showErrorMessage="1" allowBlank="1" type="list">
      <formula1>"Influent,Effluent,Thickenner,Mix,RAS"</formula1>
    </dataValidation>
  </dataValidations>
  <hyperlinks>
    <hyperlink ref="H24" location="Main!A1" display="رجوع"/>
  </hyperlinks>
  <pageMargins left="0.748030402449694" right="0.748030402449694" top="0.984251968503937" bottom="0.984251968503937" header="0.511809930008749" footer="0.511809930008749"/>
  <pageSetup orientation="landscape" paperSize="9" scale="77"/>
  <colBreaks count="1" manualBreakCount="1">
    <brk id="8" min="0" max="1048575" man="1"/>
  </colBreaks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codeName="Sheet12">
    <outlinePr summaryBelow="1" summaryRight="1"/>
    <pageSetUpPr fitToPage="1"/>
  </sheetPr>
  <dimension ref="A6:L33"/>
  <sheetViews>
    <sheetView zoomScaleNormal="100" workbookViewId="0">
      <selection activeCell="G7" sqref="G7"/>
    </sheetView>
  </sheetViews>
  <sheetFormatPr baseColWidth="8" defaultColWidth="9.109375" defaultRowHeight="13.2"/>
  <cols>
    <col width="52.109375" customWidth="1" style="534" min="1" max="1"/>
    <col width="9.109375" customWidth="1" style="534" min="2" max="2"/>
    <col width="18.33203125" customWidth="1" style="534" min="3" max="4"/>
    <col width="18.109375" customWidth="1" style="534" min="5" max="5"/>
    <col width="18.33203125" customWidth="1" style="534" min="6" max="7"/>
    <col width="18.109375" customWidth="1" style="534" min="8" max="8"/>
    <col width="9.109375" customWidth="1" style="534" min="9" max="11"/>
    <col width="10.109375" bestFit="1" customWidth="1" style="534" min="12" max="12"/>
    <col width="9.109375" customWidth="1" style="534" min="13" max="14"/>
    <col width="9.109375" customWidth="1" style="534" min="15" max="16384"/>
  </cols>
  <sheetData>
    <row r="6" ht="17.4" customHeight="1">
      <c r="A6" s="49" t="inlineStr">
        <is>
          <t>Holding Company</t>
        </is>
      </c>
      <c r="B6" s="49" t="n"/>
      <c r="C6" s="49" t="n"/>
      <c r="D6" s="49" t="n"/>
      <c r="E6" s="116" t="n"/>
      <c r="F6" s="116" t="n"/>
      <c r="G6" s="117" t="inlineStr">
        <is>
          <t xml:space="preserve">                        الشركة القابضة</t>
        </is>
      </c>
      <c r="H6" s="1" t="n"/>
    </row>
    <row r="7" ht="17.4" customHeight="1">
      <c r="A7" s="49" t="inlineStr">
        <is>
          <t>Fayoum drinking Water and Sanitation Company</t>
        </is>
      </c>
      <c r="B7" s="116" t="n"/>
      <c r="C7" s="116" t="n"/>
      <c r="D7" s="116" t="n"/>
      <c r="E7" s="116" t="n"/>
      <c r="F7" s="116" t="n"/>
      <c r="G7" s="117" t="inlineStr">
        <is>
          <t>شركة مياه الشرب والصرف الصحى بالفيوم</t>
        </is>
      </c>
      <c r="H7" s="1" t="n"/>
    </row>
    <row r="8" ht="18" customHeight="1" thickBot="1">
      <c r="A8" s="191" t="n"/>
      <c r="B8" s="191" t="n"/>
      <c r="C8" s="191" t="n"/>
      <c r="D8" s="191" t="n"/>
      <c r="E8" s="191" t="n"/>
      <c r="F8" s="191" t="n"/>
      <c r="G8" s="192" t="inlineStr">
        <is>
          <t>قطاع المعامل - الادارة العامة لمعامل الصرف الصحى</t>
        </is>
      </c>
      <c r="H8" s="193" t="n"/>
    </row>
    <row r="9" ht="13.8" customHeight="1" thickBot="1"/>
    <row r="10" ht="24.9" customHeight="1" thickBot="1">
      <c r="A10" s="210" t="inlineStr">
        <is>
          <t>WASTWATER TREATMENT PLANT LABORATORY</t>
        </is>
      </c>
      <c r="B10" s="211" t="n"/>
      <c r="C10" s="211" t="n"/>
      <c r="D10" s="211" t="n"/>
      <c r="E10" s="211" t="n"/>
      <c r="F10" s="211" t="n"/>
      <c r="G10" s="211" t="n"/>
      <c r="H10" s="212" t="n"/>
    </row>
    <row r="11" ht="24.9" customHeight="1">
      <c r="A11" s="664" t="inlineStr">
        <is>
          <t>TOTAL SUSPENDED SOLIDS ( TSS  ) WORK SHEET</t>
        </is>
      </c>
      <c r="B11" s="650" t="n"/>
      <c r="C11" s="650" t="n"/>
      <c r="D11" s="657">
        <f>Sulfide!D6</f>
        <v/>
      </c>
      <c r="E11" s="658" t="n"/>
      <c r="F11" s="195" t="inlineStr">
        <is>
          <t xml:space="preserve">FORM ID:               </t>
        </is>
      </c>
      <c r="G11" s="663" t="n"/>
      <c r="H11" s="647" t="n"/>
    </row>
    <row r="12" ht="24.9" customHeight="1">
      <c r="A12" s="651" t="inlineStr">
        <is>
          <t>20th EDITION, of The Standard Method for the Examination of Water and Wastewater</t>
        </is>
      </c>
      <c r="B12" s="539" t="n"/>
      <c r="C12" s="539" t="n"/>
      <c r="D12" s="639">
        <f>Sulfide!D7</f>
        <v/>
      </c>
      <c r="E12" s="640" t="n"/>
      <c r="F12" s="196" t="inlineStr">
        <is>
          <t>SAMPLE DATE:</t>
        </is>
      </c>
      <c r="G12" s="659">
        <f>Main!D11</f>
        <v/>
      </c>
      <c r="H12" s="569" t="n"/>
    </row>
    <row r="13" ht="24.9" customHeight="1" thickBot="1">
      <c r="A13" s="660" t="inlineStr">
        <is>
          <t xml:space="preserve"> PROCEDURE NUMBER 2450 D</t>
        </is>
      </c>
      <c r="B13" s="661" t="n"/>
      <c r="C13" s="661" t="n"/>
      <c r="D13" s="197">
        <f>Sulfide!D8</f>
        <v/>
      </c>
      <c r="E13" s="198" t="n"/>
      <c r="F13" s="199" t="inlineStr">
        <is>
          <t xml:space="preserve">  ANALYSIS DATE:</t>
        </is>
      </c>
      <c r="G13" s="655">
        <f>Main!K11</f>
        <v/>
      </c>
      <c r="H13" s="656" t="n"/>
    </row>
    <row r="14" ht="24.9" customHeight="1">
      <c r="A14" s="649" t="inlineStr">
        <is>
          <t xml:space="preserve"> (1) SAMPLE TYPE/ ID</t>
        </is>
      </c>
      <c r="B14" s="650" t="n"/>
      <c r="C14" s="201" t="inlineStr">
        <is>
          <t>Influent</t>
        </is>
      </c>
      <c r="D14" s="201" t="inlineStr">
        <is>
          <t>Mixed Liquor</t>
        </is>
      </c>
      <c r="E14" s="202" t="inlineStr">
        <is>
          <t>RAS</t>
        </is>
      </c>
      <c r="F14" s="202" t="inlineStr">
        <is>
          <t>Effluent</t>
        </is>
      </c>
      <c r="G14" s="279">
        <f>IF(G15="","",D14)</f>
        <v/>
      </c>
      <c r="H14" s="279">
        <f>IF(H15="","",E14)</f>
        <v/>
      </c>
    </row>
    <row r="15" ht="24.9" customHeight="1">
      <c r="A15" s="723" t="inlineStr">
        <is>
          <t xml:space="preserve"> (2) FILTER NUMBER</t>
        </is>
      </c>
      <c r="B15" s="550" t="n"/>
      <c r="C15" s="88" t="n"/>
      <c r="D15" s="88" t="n"/>
      <c r="E15" s="88" t="n"/>
      <c r="F15" s="88" t="n"/>
      <c r="G15" s="97">
        <f>IFERROR(IF('TS &amp; VS'!G19="YES",IF('TS &amp; VS'!G15="",IF(D15="","",D15),""),""),"")</f>
        <v/>
      </c>
      <c r="H15" s="97">
        <f>IFERROR(IF('TS &amp; VS'!H19="YES",IF('TS &amp; VS'!H15="",IF(E15="","",E15),""),""),"")</f>
        <v/>
      </c>
      <c r="J15" s="19" t="n"/>
    </row>
    <row r="16" ht="24.9" customHeight="1">
      <c r="A16" s="653" t="inlineStr">
        <is>
          <t xml:space="preserve"> (3) SAMPLE VOLUME, ml</t>
        </is>
      </c>
      <c r="B16" s="550" t="n"/>
      <c r="C16" s="204" t="n"/>
      <c r="D16" s="204" t="n"/>
      <c r="E16" s="204" t="n"/>
      <c r="F16" s="204" t="n"/>
      <c r="G16" s="247">
        <f>IFERROR(IF(G15="","",IF(D16="","",D16)),"")</f>
        <v/>
      </c>
      <c r="H16" s="247">
        <f>IFERROR(IF(H15="","",IF(E16="","",E16)),"")</f>
        <v/>
      </c>
    </row>
    <row r="17" ht="24.9" customHeight="1">
      <c r="A17" s="641" t="inlineStr">
        <is>
          <t xml:space="preserve"> (4) TARE WT. OF  FILTER, g</t>
        </is>
      </c>
      <c r="B17" s="550" t="n"/>
      <c r="C17" s="88" t="n"/>
      <c r="D17" s="88" t="n"/>
      <c r="E17" s="88" t="n"/>
      <c r="F17" s="88" t="n"/>
      <c r="G17" s="97">
        <f>IFERROR(IF(G15="","",IF(D18="","",D18)),"")</f>
        <v/>
      </c>
      <c r="H17" s="97">
        <f>IFERROR(IF(H15="","",IF(E18="","",E18)),"")</f>
        <v/>
      </c>
    </row>
    <row r="18" ht="24.9" customHeight="1">
      <c r="A18" s="648" t="inlineStr">
        <is>
          <t xml:space="preserve"> (5) WT. OF DRY  FILTER, g</t>
        </is>
      </c>
      <c r="B18" s="550" t="n"/>
      <c r="C18" s="204" t="n"/>
      <c r="D18" s="204" t="n"/>
      <c r="E18" s="204" t="n"/>
      <c r="F18" s="204" t="n"/>
      <c r="G18" s="204" t="n"/>
      <c r="H18" s="204" t="n"/>
    </row>
    <row r="19" ht="24.9" customHeight="1">
      <c r="A19" s="721" t="inlineStr">
        <is>
          <t xml:space="preserve"> (6) WT. OF DRY SOLIDS, g = (5) - ( 4)</t>
        </is>
      </c>
      <c r="B19" s="550" t="n"/>
      <c r="C19" s="801">
        <f>IFERROR(IF(C18="","",C18-C17),"")</f>
        <v/>
      </c>
      <c r="D19" s="801">
        <f>IFERROR(IF(D18="","",D18-D17),"")</f>
        <v/>
      </c>
      <c r="E19" s="801">
        <f>IFERROR(IF(E18="","",E18-E17),"")</f>
        <v/>
      </c>
      <c r="F19" s="801">
        <f>IFERROR(IF(F18="","",F18-F17),"")</f>
        <v/>
      </c>
      <c r="G19" s="801">
        <f>IFERROR(IF(G15="","",ABS(G18-G17)),"")</f>
        <v/>
      </c>
      <c r="H19" s="801">
        <f>IFERROR(IF(H15="","",ABS(H18-H17)),"")</f>
        <v/>
      </c>
    </row>
    <row r="20" ht="24.9" customFormat="1" customHeight="1" s="134" thickBot="1">
      <c r="A20" s="724" t="inlineStr">
        <is>
          <t xml:space="preserve"> (7) TSS = mg/l (6) X 1,000,000 / (3)</t>
        </is>
      </c>
      <c r="B20" s="537" t="n"/>
      <c r="C20" s="206">
        <f>IFERROR(IF(C18="","",C19*1000000/C16),"")</f>
        <v/>
      </c>
      <c r="D20" s="206">
        <f>IFERROR(IF(D18="","",D19*1000000/D16),"")</f>
        <v/>
      </c>
      <c r="E20" s="206">
        <f>IFERROR(IF(E18="","",E19*1000000/E16),"")</f>
        <v/>
      </c>
      <c r="F20" s="206">
        <f>IFERROR(IF(F18="","",F19*1000000/F16),"")</f>
        <v/>
      </c>
      <c r="G20" s="206">
        <f>IFERROR(IF(G18="","",G19*1000000/G16),"")</f>
        <v/>
      </c>
      <c r="H20" s="206">
        <f>IFERROR(IF(H18="","",H19*1000000/H16),"")</f>
        <v/>
      </c>
      <c r="I20" s="534" t="n"/>
      <c r="J20" s="534" t="n"/>
      <c r="K20" s="534" t="n"/>
      <c r="L20" s="534" t="n"/>
    </row>
    <row r="21" ht="24.9" customHeight="1">
      <c r="A21" s="721" t="inlineStr">
        <is>
          <t xml:space="preserve"> (8) % VOLATILE = VS x 100 / TS</t>
        </is>
      </c>
      <c r="B21" s="550" t="n"/>
      <c r="C21" s="320" t="n"/>
      <c r="D21" s="320" t="n"/>
      <c r="E21" s="320" t="n"/>
      <c r="F21" s="320" t="n"/>
      <c r="G21" s="321">
        <f>IFERROR(($G$20/TSS!F27),"")</f>
        <v/>
      </c>
      <c r="H21" s="321">
        <f>IFERROR(($H$20/TSS!G27),"")</f>
        <v/>
      </c>
    </row>
    <row r="22" ht="24.9" customFormat="1" customHeight="1" s="134">
      <c r="A22" s="534" t="n"/>
      <c r="B22" s="534" t="n"/>
      <c r="C22" s="534" t="n"/>
      <c r="D22" s="534" t="n"/>
      <c r="E22" s="534" t="n"/>
      <c r="F22" s="534" t="n"/>
      <c r="G22" s="534" t="n"/>
      <c r="H22" s="534" t="n"/>
      <c r="I22" s="534" t="n"/>
      <c r="J22" s="534" t="n"/>
      <c r="K22" s="534" t="n"/>
      <c r="L22" s="534" t="n"/>
    </row>
    <row r="23" ht="24.9" customHeight="1" thickBot="1"/>
    <row r="24" ht="24.9" customHeight="1" thickBot="1">
      <c r="E24" s="201" t="inlineStr">
        <is>
          <t>Influent</t>
        </is>
      </c>
      <c r="F24" s="201" t="inlineStr">
        <is>
          <t>Mixed Liquor</t>
        </is>
      </c>
      <c r="G24" s="202" t="inlineStr">
        <is>
          <t>RAS</t>
        </is>
      </c>
      <c r="H24" s="202" t="inlineStr">
        <is>
          <t>Effluent</t>
        </is>
      </c>
    </row>
    <row r="25" ht="27" customHeight="1" thickBot="1">
      <c r="D25" s="201" t="inlineStr">
        <is>
          <t>Gravimetry</t>
        </is>
      </c>
      <c r="E25" s="209">
        <f>IF(C18&gt;0,C20,"")</f>
        <v/>
      </c>
      <c r="F25" s="209">
        <f>IF(D18&gt;0,D20,"")</f>
        <v/>
      </c>
      <c r="G25" s="209">
        <f>IF(E18&gt;0,E20,"")</f>
        <v/>
      </c>
      <c r="H25" s="209">
        <f>IF(F18&gt;0,F20,"")</f>
        <v/>
      </c>
    </row>
    <row r="26" ht="19.5" customHeight="1">
      <c r="D26" s="201" t="inlineStr">
        <is>
          <t>Centrifuge</t>
        </is>
      </c>
      <c r="E26" s="88" t="n"/>
      <c r="F26" s="88" t="n"/>
      <c r="G26" s="88" t="n"/>
      <c r="H26" s="88" t="n"/>
    </row>
    <row r="27" ht="24" customHeight="1">
      <c r="E27" s="209">
        <f>IFERROR(IF(E26&gt;0,E26,E25),"")</f>
        <v/>
      </c>
      <c r="F27" s="209">
        <f>IFERROR(IF(F26&gt;0,F26,F25),"")</f>
        <v/>
      </c>
      <c r="G27" s="209">
        <f>IFERROR(IF(G26&gt;0,G26,G25),"")</f>
        <v/>
      </c>
      <c r="H27" s="209">
        <f>IFERROR(IF(H26&gt;0,H26,H25),"")</f>
        <v/>
      </c>
    </row>
    <row r="29" ht="12.75" customHeight="1"/>
    <row r="30" ht="12.75" customHeight="1">
      <c r="H30" s="707" t="inlineStr">
        <is>
          <t>رجوع</t>
        </is>
      </c>
      <c r="I30" s="534" t="n"/>
    </row>
    <row r="31" ht="12.75" customHeight="1">
      <c r="H31" s="534" t="n"/>
      <c r="I31" s="534" t="n"/>
    </row>
    <row r="32" ht="12.75" customHeight="1">
      <c r="H32" s="534" t="n"/>
      <c r="I32" s="534" t="n"/>
    </row>
    <row r="33">
      <c r="H33" s="534" t="n"/>
      <c r="I33" s="53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ExEMTQCDS3VS8/jnvoU2sw==" formatRows="1" sort="1" spinCount="100000" hashValue="KtjdiyZz7bJagpUf3GoXe9vSgUS9E19/FOkPNNgXImT48f+BTJG4sKm7jly270Y9MJdWvVDrbt+f1Sa0rD8jFw=="/>
  <mergeCells count="17">
    <mergeCell ref="A20:B20"/>
    <mergeCell ref="A21:B21"/>
    <mergeCell ref="A16:B16"/>
    <mergeCell ref="A11:C11"/>
    <mergeCell ref="A15:B15"/>
    <mergeCell ref="A13:C13"/>
    <mergeCell ref="G12:H12"/>
    <mergeCell ref="A19:B19"/>
    <mergeCell ref="D11:E11"/>
    <mergeCell ref="G11:H11"/>
    <mergeCell ref="A14:B14"/>
    <mergeCell ref="H30:I33"/>
    <mergeCell ref="A17:B17"/>
    <mergeCell ref="A12:C12"/>
    <mergeCell ref="A18:B18"/>
    <mergeCell ref="G13:H13"/>
    <mergeCell ref="D12:E12"/>
  </mergeCells>
  <hyperlinks>
    <hyperlink ref="H30" location="Main!A1" display="رجوع"/>
  </hyperlinks>
  <pageMargins left="0.748030402449694" right="0.748030402449694" top="0.984251968503937" bottom="0.984251968503937" header="0.511809930008749" footer="0.511809930008749"/>
  <pageSetup orientation="landscape" paperSize="9" scale="77"/>
  <colBreaks count="1" manualBreakCount="1">
    <brk id="8" min="0" max="1048575" man="1"/>
  </colBreaks>
</worksheet>
</file>

<file path=xl/worksheets/sheet13.xml><?xml version="1.0" encoding="utf-8"?>
<worksheet xmlns="http://schemas.openxmlformats.org/spreadsheetml/2006/main">
  <sheetPr codeName="Sheet13">
    <outlinePr summaryBelow="1" summaryRight="1"/>
    <pageSetUpPr fitToPage="1"/>
  </sheetPr>
  <dimension ref="A6:BP67"/>
  <sheetViews>
    <sheetView zoomScaleNormal="100" workbookViewId="0">
      <selection activeCell="D10" sqref="D10:E10"/>
    </sheetView>
  </sheetViews>
  <sheetFormatPr baseColWidth="8" defaultColWidth="9.109375" defaultRowHeight="13.2"/>
  <cols>
    <col width="36.44140625" customWidth="1" style="534" min="1" max="1"/>
    <col width="16.6640625" customWidth="1" style="534" min="2" max="2"/>
    <col width="18.33203125" customWidth="1" style="534" min="3" max="3"/>
    <col width="22.6640625" customWidth="1" style="534" min="4" max="4"/>
    <col width="18.109375" customWidth="1" style="534" min="5" max="5"/>
    <col width="18.33203125" customWidth="1" style="534" min="6" max="6"/>
    <col width="23.33203125" customWidth="1" style="534" min="7" max="7"/>
    <col width="18.109375" customWidth="1" style="534" min="8" max="8"/>
    <col width="19.88671875" bestFit="1" customWidth="1" style="534" min="9" max="9"/>
    <col width="11.6640625" bestFit="1" customWidth="1" style="534" min="10" max="10"/>
    <col width="14.5546875" bestFit="1" customWidth="1" style="534" min="11" max="11"/>
    <col width="17.109375" bestFit="1" customWidth="1" style="534" min="12" max="12"/>
    <col width="16.88671875" bestFit="1" customWidth="1" style="534" min="13" max="13"/>
    <col width="14" bestFit="1" customWidth="1" style="534" min="14" max="14"/>
    <col width="16.5546875" bestFit="1" customWidth="1" style="534" min="15" max="15"/>
    <col width="16.33203125" bestFit="1" customWidth="1" style="534" min="16" max="16"/>
    <col width="13" bestFit="1" customWidth="1" style="534" min="17" max="17"/>
    <col width="12.88671875" bestFit="1" customWidth="1" style="534" min="18" max="18"/>
    <col width="12.44140625" customWidth="1" style="534" min="19" max="19"/>
    <col width="11.6640625" bestFit="1" customWidth="1" style="534" min="20" max="20"/>
    <col width="15" bestFit="1" customWidth="1" style="534" min="21" max="21"/>
    <col width="15" customWidth="1" style="534" min="22" max="44"/>
    <col width="9.109375" customWidth="1" style="534" min="45" max="51"/>
    <col width="13" customWidth="1" style="534" min="52" max="52"/>
    <col width="9.44140625" bestFit="1" customWidth="1" style="534" min="53" max="54"/>
    <col width="9.5546875" bestFit="1" customWidth="1" style="534" min="55" max="64"/>
    <col width="13" customWidth="1" style="534" min="65" max="65"/>
    <col width="9.5546875" bestFit="1" customWidth="1" style="534" min="66" max="68"/>
    <col width="9.109375" customWidth="1" style="534" min="69" max="70"/>
    <col width="9.109375" customWidth="1" style="534" min="71" max="16384"/>
  </cols>
  <sheetData>
    <row r="5" ht="24.9" customHeight="1"/>
    <row r="6" ht="24.9" customHeight="1">
      <c r="A6" s="49" t="inlineStr">
        <is>
          <t>Holding Company</t>
        </is>
      </c>
      <c r="B6" s="49" t="n"/>
      <c r="C6" s="49" t="n"/>
      <c r="D6" s="49" t="n"/>
      <c r="E6" s="116" t="n"/>
      <c r="F6" s="116" t="n"/>
      <c r="G6" s="117" t="inlineStr">
        <is>
          <t xml:space="preserve">                        الشركة القابضة</t>
        </is>
      </c>
      <c r="H6" s="1" t="n"/>
      <c r="J6" s="729" t="inlineStr">
        <is>
          <t>Original</t>
        </is>
      </c>
      <c r="K6" s="729" t="inlineStr">
        <is>
          <t>Supposed</t>
        </is>
      </c>
      <c r="L6" s="550" t="n"/>
      <c r="M6" s="537" t="n"/>
    </row>
    <row r="7" ht="24.9" customHeight="1">
      <c r="A7" s="49" t="inlineStr">
        <is>
          <t>Fayoum drinking Water and Sanitation Company</t>
        </is>
      </c>
      <c r="B7" s="116" t="n"/>
      <c r="C7" s="116" t="n"/>
      <c r="D7" s="116" t="n"/>
      <c r="E7" s="116" t="n"/>
      <c r="F7" s="116" t="n"/>
      <c r="G7" s="117" t="inlineStr">
        <is>
          <t>شركة مياه الشرب والصرف الصحى بالفيوم</t>
        </is>
      </c>
      <c r="H7" s="1" t="n"/>
      <c r="J7" s="730" t="inlineStr">
        <is>
          <t>F</t>
        </is>
      </c>
      <c r="K7" s="537" t="n"/>
      <c r="L7" s="802" t="inlineStr">
        <is>
          <t>Influent</t>
        </is>
      </c>
      <c r="M7" s="802" t="inlineStr">
        <is>
          <t>Effluent</t>
        </is>
      </c>
      <c r="P7" s="802" t="inlineStr">
        <is>
          <t>ACCEPTED RANGE</t>
        </is>
      </c>
      <c r="Q7" s="623" t="n"/>
      <c r="R7" s="623" t="n"/>
      <c r="S7" s="569" t="n"/>
      <c r="T7" s="802" t="inlineStr">
        <is>
          <t>Original</t>
        </is>
      </c>
      <c r="U7" s="802" t="inlineStr">
        <is>
          <t>Supposed</t>
        </is>
      </c>
      <c r="AU7" s="619" t="n"/>
      <c r="AV7" s="619" t="n"/>
      <c r="AW7" s="619" t="n"/>
      <c r="AX7" s="619" t="n"/>
      <c r="AY7" s="619" t="n"/>
      <c r="AZ7" s="619" t="n"/>
      <c r="BA7" s="619" t="n"/>
      <c r="BB7" s="619" t="n"/>
      <c r="BC7" s="619" t="n"/>
      <c r="BD7" s="619" t="n"/>
      <c r="BE7" s="619" t="n"/>
      <c r="BF7" s="619" t="n"/>
      <c r="BG7" s="619" t="n"/>
      <c r="BH7" s="619" t="n"/>
      <c r="BI7" s="619" t="n"/>
      <c r="BJ7" s="619" t="n"/>
      <c r="BK7" s="619" t="n"/>
      <c r="BL7" s="619" t="n"/>
      <c r="BM7" s="619" t="n"/>
    </row>
    <row r="8" ht="24.9" customHeight="1" thickBot="1">
      <c r="A8" s="191" t="n"/>
      <c r="B8" s="191" t="n"/>
      <c r="C8" s="191" t="n"/>
      <c r="D8" s="191" t="n"/>
      <c r="E8" s="191" t="n"/>
      <c r="F8" s="191" t="n"/>
      <c r="G8" s="192" t="inlineStr">
        <is>
          <t>قطاع المعامل - الادارة العامة لمعامل الصرف الصحى</t>
        </is>
      </c>
      <c r="H8" s="193" t="n"/>
      <c r="I8" s="802" t="inlineStr">
        <is>
          <t>Influent Factor</t>
        </is>
      </c>
      <c r="J8" s="386" t="inlineStr">
        <is>
          <t>0.75</t>
        </is>
      </c>
      <c r="K8" s="803">
        <f>IFERROR(IF(F23=0,"",$F$23*$J$8/(J8*$F$24)),"")</f>
        <v/>
      </c>
      <c r="L8" s="222">
        <f>IFERROR($F$24*$K$8/$J$8,"")</f>
        <v/>
      </c>
      <c r="M8" s="222">
        <f>IFERROR($G$24*$K$8/$J$8,"")</f>
        <v/>
      </c>
      <c r="P8" s="730" t="inlineStr">
        <is>
          <t>F</t>
        </is>
      </c>
      <c r="Q8" s="802" t="inlineStr">
        <is>
          <t>Influent</t>
        </is>
      </c>
      <c r="R8" s="802" t="inlineStr">
        <is>
          <t>Effluent</t>
        </is>
      </c>
      <c r="S8" s="802" t="inlineStr">
        <is>
          <t>Conductivity</t>
        </is>
      </c>
      <c r="T8" s="623" t="n"/>
      <c r="U8" s="569" t="n"/>
      <c r="AU8" s="614" t="n"/>
      <c r="AV8" s="614" t="n"/>
      <c r="AW8" s="619" t="n"/>
      <c r="AX8" s="619" t="n"/>
      <c r="AY8" s="619" t="n"/>
      <c r="AZ8" s="619" t="n"/>
      <c r="BA8" s="619" t="n"/>
      <c r="BB8" s="619" t="n"/>
      <c r="BC8" s="619" t="n"/>
      <c r="BD8" s="619" t="n"/>
      <c r="BE8" s="619" t="n"/>
      <c r="BF8" s="619" t="n"/>
      <c r="BG8" s="619" t="n"/>
      <c r="BH8" s="619" t="n"/>
      <c r="BI8" s="619" t="n"/>
      <c r="BJ8" s="619" t="n"/>
      <c r="BK8" s="619" t="n"/>
      <c r="BL8" s="619" t="n"/>
      <c r="BM8" s="619" t="n"/>
      <c r="BN8" s="619" t="n"/>
    </row>
    <row r="9" ht="24.9" customHeight="1" thickBot="1">
      <c r="A9" s="425" t="inlineStr">
        <is>
          <t>WASTWATER TREATMENT PLANT LABORATORY</t>
        </is>
      </c>
      <c r="B9" s="213" t="n"/>
      <c r="C9" s="213" t="n"/>
      <c r="D9" s="213" t="n"/>
      <c r="E9" s="213" t="n"/>
      <c r="F9" s="213" t="n"/>
      <c r="G9" s="213" t="n"/>
      <c r="H9" s="214" t="n"/>
      <c r="I9" s="802" t="inlineStr">
        <is>
          <t>Effluent Factor</t>
        </is>
      </c>
      <c r="J9" s="803" t="inlineStr">
        <is>
          <t>0.35</t>
        </is>
      </c>
      <c r="K9" s="803">
        <f>IFERROR(IF(G24=0,"",$G$23*$J$9/(J9*$G$24)),"")</f>
        <v/>
      </c>
      <c r="L9" s="804" t="n"/>
      <c r="M9" s="804" t="n"/>
      <c r="O9" s="220" t="inlineStr">
        <is>
          <t>From</t>
        </is>
      </c>
      <c r="P9" s="805">
        <f>IFERROR($J$8+($J$8*0.05),"")</f>
        <v/>
      </c>
      <c r="Q9" s="221">
        <f>$F$24*$P$9/$J$8</f>
        <v/>
      </c>
      <c r="R9" s="221">
        <f>$G$24*$P$9/$J$8</f>
        <v/>
      </c>
      <c r="T9" s="534" t="n">
        <v>1208</v>
      </c>
      <c r="AU9" s="619" t="n"/>
      <c r="AV9" s="619" t="n"/>
      <c r="AW9" s="708" t="n"/>
      <c r="AX9" s="708" t="n"/>
      <c r="AY9" s="708" t="n"/>
      <c r="AZ9" s="708" t="n"/>
      <c r="BA9" s="708" t="n"/>
      <c r="BB9" s="708" t="n"/>
      <c r="BC9" s="708" t="n"/>
      <c r="BD9" s="708" t="n"/>
      <c r="BE9" s="708" t="n"/>
      <c r="BF9" s="708" t="n"/>
      <c r="BG9" s="708" t="n"/>
      <c r="BH9" s="708" t="n"/>
      <c r="BI9" s="708" t="n"/>
      <c r="BJ9" s="708" t="n"/>
      <c r="BK9" s="708" t="n"/>
      <c r="BL9" s="708" t="n"/>
      <c r="BM9" s="708" t="n"/>
    </row>
    <row r="10" ht="24.9" customHeight="1">
      <c r="A10" s="733" t="inlineStr">
        <is>
          <t>TOTAL SUSPENDED SOLIDS ( TDS  ) WORK SHEET</t>
        </is>
      </c>
      <c r="B10" s="650" t="n"/>
      <c r="C10" s="647" t="n"/>
      <c r="D10" s="734">
        <f>Sulfide!D6</f>
        <v/>
      </c>
      <c r="E10" s="618" t="n"/>
      <c r="F10" s="195" t="inlineStr">
        <is>
          <t xml:space="preserve">FORM ID:               </t>
        </is>
      </c>
      <c r="G10" s="663" t="n"/>
      <c r="H10" s="647" t="n"/>
      <c r="I10" s="802" t="inlineStr">
        <is>
          <t>DW Factor</t>
        </is>
      </c>
      <c r="J10" s="803" t="inlineStr">
        <is>
          <t>0.354</t>
        </is>
      </c>
      <c r="K10" s="803" t="n"/>
      <c r="O10" s="220" t="inlineStr">
        <is>
          <t>To</t>
        </is>
      </c>
      <c r="P10" s="805">
        <f>IFERROR($J$8-($J$8*0.05),"")</f>
        <v/>
      </c>
      <c r="Q10" s="221">
        <f>$F$24*$P$10/$J$8</f>
        <v/>
      </c>
      <c r="R10" s="221">
        <f>$G$24*$P$10/$J$8</f>
        <v/>
      </c>
      <c r="AU10" s="619" t="n"/>
      <c r="AV10" s="619" t="n"/>
      <c r="AW10" s="708" t="n"/>
      <c r="AX10" s="708" t="n"/>
      <c r="AY10" s="708" t="n"/>
      <c r="AZ10" s="708" t="n"/>
      <c r="BA10" s="708" t="n"/>
      <c r="BB10" s="708" t="n"/>
      <c r="BC10" s="708" t="n"/>
      <c r="BD10" s="708" t="n"/>
      <c r="BE10" s="708" t="n"/>
      <c r="BF10" s="708" t="n"/>
      <c r="BG10" s="708" t="n"/>
      <c r="BH10" s="708" t="n"/>
      <c r="BI10" s="708" t="n"/>
      <c r="BJ10" s="708" t="n"/>
      <c r="BK10" s="708" t="n"/>
      <c r="BL10" s="708" t="n"/>
      <c r="BM10" s="619" t="n"/>
    </row>
    <row r="11" ht="24.9" customFormat="1" customHeight="1" s="134">
      <c r="A11" s="732" t="inlineStr">
        <is>
          <t>20th EDITION, of The Standard Method for the Examination of Water and Wastewater</t>
        </is>
      </c>
      <c r="B11" s="539" t="n"/>
      <c r="C11" s="540" t="n"/>
      <c r="D11" s="720">
        <f>Sulfide!D7</f>
        <v/>
      </c>
      <c r="E11" s="621" t="n"/>
      <c r="F11" s="196" t="inlineStr">
        <is>
          <t>SAMPLE DATE:</t>
        </is>
      </c>
      <c r="G11" s="659">
        <f>Main!D11</f>
        <v/>
      </c>
      <c r="H11" s="569" t="n"/>
      <c r="I11" s="534" t="n"/>
      <c r="J11" s="534" t="n"/>
      <c r="K11" s="534" t="n"/>
      <c r="P11" s="602">
        <f>IFERROR(IF(K8="","",AND(IF((AVERAGE(J8:K8)-AVERAGE(J8:K8)*0.05)&lt;=$K$8,TRUE,FALSE),IF($K$8&lt;=(AVERAGE(J8:K8)+AVERAGE(J8:K8)*0.05),TRUE,FALSE))),"")</f>
        <v/>
      </c>
      <c r="Q11" s="602">
        <f>IFERROR(IF(F25="","",AND(IF(F25&lt;=Q9,TRUE,FALSE),IF(Q10&lt;=F25,TRUE,FALSE))),"")</f>
        <v/>
      </c>
      <c r="R11" s="602">
        <f>IFERROR(IF(G25="","",AND(IF(G25&lt;=R9,TRUE,FALSE),IF(R10&lt;=G25,TRUE,FALSE))),"")</f>
        <v/>
      </c>
      <c r="AU11" s="619" t="n"/>
      <c r="AV11" s="619" t="n"/>
      <c r="AW11" s="708" t="n"/>
      <c r="AX11" s="708" t="n"/>
      <c r="AY11" s="708" t="n"/>
      <c r="AZ11" s="708" t="n"/>
      <c r="BA11" s="708" t="n"/>
      <c r="BB11" s="708" t="n"/>
      <c r="BC11" s="708" t="n"/>
      <c r="BD11" s="708" t="n"/>
      <c r="BE11" s="708" t="n"/>
      <c r="BF11" s="708" t="n"/>
      <c r="BG11" s="708" t="n"/>
      <c r="BH11" s="708" t="n"/>
      <c r="BI11" s="708" t="n"/>
      <c r="BJ11" s="708" t="n"/>
      <c r="BK11" s="708" t="n"/>
      <c r="BL11" s="708" t="n"/>
      <c r="BM11" s="619" t="n"/>
    </row>
    <row r="12" ht="24.9" customHeight="1" thickBot="1">
      <c r="A12" s="735" t="inlineStr">
        <is>
          <t xml:space="preserve"> PROCEDURE NUMBER 2450 C</t>
        </is>
      </c>
      <c r="B12" s="661" t="n"/>
      <c r="C12" s="736" t="n"/>
      <c r="D12" s="388">
        <f>Sulfide!D8</f>
        <v/>
      </c>
      <c r="E12" s="391" t="n"/>
      <c r="F12" s="199" t="inlineStr">
        <is>
          <t xml:space="preserve">  ANALYSIS DATE:</t>
        </is>
      </c>
      <c r="G12" s="655">
        <f>Main!K11</f>
        <v/>
      </c>
      <c r="H12" s="656" t="n"/>
      <c r="AU12" s="619" t="n"/>
      <c r="AV12" s="619" t="n"/>
      <c r="AW12" s="708" t="n"/>
      <c r="AX12" s="708" t="n"/>
      <c r="AY12" s="708" t="n"/>
      <c r="AZ12" s="708" t="n"/>
      <c r="BA12" s="708" t="n"/>
      <c r="BB12" s="708" t="n"/>
      <c r="BC12" s="708" t="n"/>
      <c r="BD12" s="708" t="n"/>
      <c r="BE12" s="708" t="n"/>
      <c r="BF12" s="708" t="n"/>
      <c r="BG12" s="708" t="n"/>
      <c r="BH12" s="708" t="n"/>
      <c r="BI12" s="708" t="n"/>
      <c r="BJ12" s="708" t="n"/>
      <c r="BK12" s="708" t="n"/>
      <c r="BL12" s="708" t="n"/>
      <c r="BM12" s="619" t="n"/>
    </row>
    <row r="13" ht="24.9" customHeight="1" thickBot="1">
      <c r="A13" s="649" t="inlineStr">
        <is>
          <t xml:space="preserve"> (1) SAMPLE TYPE/ ID</t>
        </is>
      </c>
      <c r="B13" s="650" t="n"/>
      <c r="C13" s="200" t="inlineStr">
        <is>
          <t>influent</t>
        </is>
      </c>
      <c r="D13" s="201" t="inlineStr">
        <is>
          <t>effluent</t>
        </is>
      </c>
      <c r="E13" s="215" t="inlineStr">
        <is>
          <t>standard</t>
        </is>
      </c>
      <c r="F13" s="203" t="inlineStr">
        <is>
          <t>stanard</t>
        </is>
      </c>
      <c r="G13" s="203" t="n"/>
      <c r="H13" s="203" t="n"/>
      <c r="I13" s="644" t="n"/>
      <c r="J13" s="348" t="inlineStr">
        <is>
          <t>S.N.</t>
        </is>
      </c>
      <c r="K13" s="349" t="inlineStr">
        <is>
          <t>WEIGHT 1</t>
        </is>
      </c>
      <c r="L13" s="349" t="inlineStr">
        <is>
          <t>Correcttion 1</t>
        </is>
      </c>
      <c r="M13" s="350" t="inlineStr">
        <is>
          <t>Net weight 1</t>
        </is>
      </c>
      <c r="N13" s="349" t="inlineStr">
        <is>
          <t>WEIGHT2</t>
        </is>
      </c>
      <c r="O13" s="349" t="inlineStr">
        <is>
          <t>Correcttion2</t>
        </is>
      </c>
      <c r="P13" s="349" t="inlineStr">
        <is>
          <t>Net weight2</t>
        </is>
      </c>
      <c r="AU13" s="619" t="n"/>
      <c r="AV13" s="619" t="n"/>
      <c r="AW13" s="708" t="n"/>
      <c r="AX13" s="708" t="n"/>
      <c r="AY13" s="708" t="n"/>
      <c r="AZ13" s="708" t="n"/>
      <c r="BA13" s="708" t="n"/>
      <c r="BB13" s="708" t="n"/>
      <c r="BC13" s="708" t="n"/>
      <c r="BD13" s="708" t="n"/>
      <c r="BE13" s="708" t="n"/>
      <c r="BF13" s="708" t="n"/>
      <c r="BG13" s="708" t="n"/>
      <c r="BH13" s="708" t="n"/>
      <c r="BI13" s="708" t="n"/>
      <c r="BJ13" s="708" t="n"/>
      <c r="BK13" s="708" t="n"/>
      <c r="BL13" s="708" t="n"/>
      <c r="BM13" s="619" t="n"/>
    </row>
    <row r="14" ht="24.9" customHeight="1" thickTop="1">
      <c r="A14" s="641" t="inlineStr">
        <is>
          <t xml:space="preserve"> (2)CRUCIBLE  NUMBER</t>
        </is>
      </c>
      <c r="B14" s="550" t="n"/>
      <c r="C14" s="97">
        <f>IF(ISBLANK($J$14),"",$J$14)</f>
        <v/>
      </c>
      <c r="D14" s="97">
        <f>IF(ISBLANK($J$15),"",$J$15)</f>
        <v/>
      </c>
      <c r="E14" s="97">
        <f>IF(ISBLANK($J$16),"",$J$16)</f>
        <v/>
      </c>
      <c r="F14" s="97">
        <f>IF(ISBLANK($J$17),"",$J$17)</f>
        <v/>
      </c>
      <c r="G14" s="97">
        <f>IF(ISBLANK($J$18),"",$J$18)</f>
        <v/>
      </c>
      <c r="H14" s="97">
        <f>IF(ISBLANK($J$19),"",$J$19)</f>
        <v/>
      </c>
      <c r="J14" s="351" t="n"/>
      <c r="K14" s="352" t="n"/>
      <c r="L14" s="353">
        <f>IFERROR(IF(ISBLANK(Table1113[[#This Row],[WEIGHT 1]]),"",VLOOKUP(ROUND(Table1113[[#This Row],[WEIGHT 1]],0),Radwag[],3,Radwag[[#This Row],[Weigh]])),"")</f>
        <v/>
      </c>
      <c r="M14" s="777">
        <f>IFERROR(Table1113[[#This Row],[WEIGHT 1]]+Table1113[[#This Row],[Correcttion 1]],"")</f>
        <v/>
      </c>
      <c r="N14" s="352" t="n"/>
      <c r="O14" s="353">
        <f>IFERROR(IF(ISBLANK(Table1113[[#This Row],[WEIGHT2]]),"",VLOOKUP(ROUND(Table1113[[#This Row],[WEIGHT2]],0),Radwag[],3,Radwag[[#This Row],[Weigh]])),"")</f>
        <v/>
      </c>
      <c r="P14" s="777">
        <f>IFERROR(Table1113[[#This Row],[WEIGHT2]]+Table1113[[#This Row],[Correcttion2]],"")</f>
        <v/>
      </c>
      <c r="AU14" s="619" t="n"/>
      <c r="AV14" s="619" t="n"/>
      <c r="AW14" s="708" t="n"/>
      <c r="AX14" s="708" t="n"/>
      <c r="AY14" s="708" t="n"/>
      <c r="AZ14" s="708" t="n"/>
      <c r="BA14" s="708" t="n"/>
      <c r="BB14" s="708" t="n"/>
      <c r="BC14" s="708" t="n"/>
      <c r="BD14" s="708" t="n"/>
      <c r="BE14" s="708" t="n"/>
      <c r="BF14" s="708" t="n"/>
      <c r="BG14" s="708" t="n"/>
      <c r="BH14" s="708" t="n"/>
      <c r="BI14" s="708" t="n"/>
      <c r="BJ14" s="708" t="n"/>
      <c r="BK14" s="708" t="n"/>
      <c r="BL14" s="708" t="n"/>
      <c r="BM14" s="619" t="n"/>
    </row>
    <row r="15" ht="24.9" customHeight="1">
      <c r="A15" s="653" t="inlineStr">
        <is>
          <t xml:space="preserve"> (3) SAMPLE VOLUME, ml</t>
        </is>
      </c>
      <c r="B15" s="550" t="n"/>
      <c r="C15" s="204" t="n"/>
      <c r="D15" s="204" t="n"/>
      <c r="E15" s="204" t="n"/>
      <c r="F15" s="204" t="n"/>
      <c r="G15" s="204" t="n"/>
      <c r="H15" s="204" t="n"/>
      <c r="J15" s="354" t="n"/>
      <c r="K15" s="355" t="n"/>
      <c r="L15" s="356">
        <f>IFERROR(IF(ISBLANK(Table1113[[#This Row],[WEIGHT 1]]),"",VLOOKUP(ROUND(Table1113[[#This Row],[WEIGHT 1]],0),Radwag[],3,Radwag[[#This Row],[Weigh]])),"")</f>
        <v/>
      </c>
      <c r="M15" s="357">
        <f>IFERROR(Table1113[[#This Row],[WEIGHT 1]]+Table1113[[#This Row],[Correcttion 1]],"")</f>
        <v/>
      </c>
      <c r="N15" s="355" t="n"/>
      <c r="O15" s="356">
        <f>IFERROR(IF(ISBLANK(Table1113[[#This Row],[WEIGHT2]]),"",VLOOKUP(ROUND(Table1113[[#This Row],[WEIGHT2]],0),Radwag[],3,Radwag[[#This Row],[Weigh]])),"")</f>
        <v/>
      </c>
      <c r="P15" s="795">
        <f>IFERROR(Table1113[[#This Row],[WEIGHT2]]+Table1113[[#This Row],[Correcttion2]],"")</f>
        <v/>
      </c>
      <c r="AU15" s="619" t="n"/>
      <c r="AV15" s="619" t="n"/>
      <c r="AW15" s="708" t="n"/>
      <c r="AX15" s="708" t="n"/>
      <c r="AY15" s="708" t="n"/>
      <c r="AZ15" s="708" t="n"/>
      <c r="BA15" s="708" t="n"/>
      <c r="BB15" s="708" t="n"/>
      <c r="BC15" s="708" t="n"/>
      <c r="BD15" s="708" t="n"/>
      <c r="BE15" s="708" t="n"/>
      <c r="BF15" s="708" t="n"/>
      <c r="BG15" s="708" t="n"/>
      <c r="BH15" s="708" t="n"/>
      <c r="BI15" s="708" t="n"/>
      <c r="BJ15" s="708" t="n"/>
      <c r="BK15" s="708" t="n"/>
      <c r="BL15" s="708" t="n"/>
      <c r="BM15" s="619" t="n"/>
    </row>
    <row r="16" ht="25.5" customHeight="1">
      <c r="A16" s="641" t="inlineStr">
        <is>
          <t xml:space="preserve"> (4) TARE WT. OF CRUCIBLE  g</t>
        </is>
      </c>
      <c r="B16" s="550" t="n"/>
      <c r="C16" s="796">
        <f>IF($C$14="","",$M$14)</f>
        <v/>
      </c>
      <c r="D16" s="796">
        <f>IF($D$14="","",$M$15)</f>
        <v/>
      </c>
      <c r="E16" s="796">
        <f>IF($E$14="","",$M$16)</f>
        <v/>
      </c>
      <c r="F16" s="796">
        <f>IF($F$14="","",$M$17)</f>
        <v/>
      </c>
      <c r="G16" s="796">
        <f>IF($G$14="","",$M$18)</f>
        <v/>
      </c>
      <c r="H16" s="796">
        <f>IF($H$14="","",$M$19)</f>
        <v/>
      </c>
      <c r="J16" s="351" t="n"/>
      <c r="K16" s="352" t="n"/>
      <c r="L16" s="353">
        <f>IFERROR(IF(ISBLANK(Table1113[[#This Row],[WEIGHT 1]]),"",VLOOKUP(ROUND(Table1113[[#This Row],[WEIGHT 1]],0),Radwag[],3,Radwag[[#This Row],[Weigh]])),"")</f>
        <v/>
      </c>
      <c r="M16" s="358">
        <f>IFERROR(Table1113[[#This Row],[WEIGHT 1]]+Table1113[[#This Row],[Correcttion 1]],"")</f>
        <v/>
      </c>
      <c r="N16" s="352" t="n"/>
      <c r="O16" s="353">
        <f>IFERROR(IF(ISBLANK(Table1113[[#This Row],[WEIGHT2]]),"",VLOOKUP(ROUND(Table1113[[#This Row],[WEIGHT2]],0),Radwag[],3,Radwag[[#This Row],[Weigh]])),"")</f>
        <v/>
      </c>
      <c r="P16" s="777">
        <f>IFERROR(Table1113[[#This Row],[WEIGHT2]]+Table1113[[#This Row],[Correcttion2]],"")</f>
        <v/>
      </c>
      <c r="AU16" s="619" t="n"/>
      <c r="AV16" s="619" t="n"/>
      <c r="AW16" s="708" t="n"/>
      <c r="AX16" s="708" t="n"/>
      <c r="AY16" s="708" t="n"/>
      <c r="AZ16" s="708" t="n"/>
      <c r="BA16" s="708" t="n"/>
      <c r="BB16" s="708" t="n"/>
      <c r="BC16" s="708" t="n"/>
      <c r="BD16" s="708" t="n"/>
      <c r="BE16" s="708" t="n"/>
      <c r="BF16" s="708" t="n"/>
      <c r="BG16" s="708" t="n"/>
      <c r="BH16" s="708" t="n"/>
      <c r="BI16" s="708" t="n"/>
      <c r="BJ16" s="708" t="n"/>
      <c r="BK16" s="708" t="n"/>
      <c r="BL16" s="708" t="n"/>
      <c r="BM16" s="619" t="n"/>
    </row>
    <row r="17" ht="25.5" customHeight="1">
      <c r="A17" s="648" t="inlineStr">
        <is>
          <t xml:space="preserve"> (5) WT. OF DRY DISH  g</t>
        </is>
      </c>
      <c r="B17" s="550" t="n"/>
      <c r="C17" s="806">
        <f>IF($C$14="","",$P$14)</f>
        <v/>
      </c>
      <c r="D17" s="806">
        <f>IF($D$14="","",$P$15)</f>
        <v/>
      </c>
      <c r="E17" s="806">
        <f>IF($E$14="","",$P$16)</f>
        <v/>
      </c>
      <c r="F17" s="806">
        <f>IF($F$14="","",$P$17)</f>
        <v/>
      </c>
      <c r="G17" s="806">
        <f>IF($G$14="","",$P$18)</f>
        <v/>
      </c>
      <c r="H17" s="806">
        <f>IF($H$14="","",$P$19)</f>
        <v/>
      </c>
      <c r="J17" s="359" t="n"/>
      <c r="K17" s="360" t="n"/>
      <c r="L17" s="361">
        <f>IFERROR(IF(ISBLANK(Table1113[[#This Row],[WEIGHT 1]]),"",VLOOKUP(ROUND(Table1113[[#This Row],[WEIGHT 1]],0),Radwag[],3,Radwag[[#This Row],[Weigh]])),"")</f>
        <v/>
      </c>
      <c r="M17" s="362">
        <f>IFERROR(Table1113[[#This Row],[WEIGHT 1]]+Table1113[[#This Row],[Correcttion 1]],"")</f>
        <v/>
      </c>
      <c r="N17" s="360" t="n"/>
      <c r="O17" s="361">
        <f>IFERROR(IF(ISBLANK(Table1113[[#This Row],[WEIGHT2]]),"",VLOOKUP(ROUND(Table1113[[#This Row],[WEIGHT2]],0),Radwag[],3,Radwag[[#This Row],[Weigh]])),"")</f>
        <v/>
      </c>
      <c r="P17" s="797">
        <f>IFERROR(Table1113[[#This Row],[WEIGHT2]]+Table1113[[#This Row],[Correcttion2]],"")</f>
        <v/>
      </c>
      <c r="AU17" s="619" t="n"/>
      <c r="AV17" s="619" t="n"/>
      <c r="AW17" s="708" t="n"/>
      <c r="AX17" s="708" t="n"/>
      <c r="AY17" s="708" t="n"/>
      <c r="AZ17" s="708" t="n"/>
      <c r="BA17" s="708" t="n"/>
      <c r="BB17" s="708" t="n"/>
      <c r="BC17" s="708" t="n"/>
      <c r="BD17" s="708" t="n"/>
      <c r="BE17" s="708" t="n"/>
      <c r="BF17" s="708" t="n"/>
      <c r="BG17" s="708" t="n"/>
      <c r="BH17" s="708" t="n"/>
      <c r="BI17" s="708" t="n"/>
      <c r="BJ17" s="708" t="n"/>
      <c r="BK17" s="708" t="n"/>
      <c r="BL17" s="708" t="n"/>
      <c r="BM17" s="619" t="n"/>
    </row>
    <row r="18" ht="25.5" customHeight="1">
      <c r="A18" s="721" t="inlineStr">
        <is>
          <t xml:space="preserve"> (6) WT. OF DRY SOLIDS, g = (5) - ( 4)</t>
        </is>
      </c>
      <c r="B18" s="550" t="n"/>
      <c r="C18" s="205">
        <f>IFERROR(IF(C17="","",C17-C16),"")</f>
        <v/>
      </c>
      <c r="D18" s="205">
        <f>IFERROR(IF(D17="","",D17-D16),"")</f>
        <v/>
      </c>
      <c r="E18" s="205">
        <f>IFERROR(IF(E17="","",E17-E16),"")</f>
        <v/>
      </c>
      <c r="F18" s="205">
        <f>IFERROR(IF(F17="","",F17-F16),"")</f>
        <v/>
      </c>
      <c r="G18" s="205">
        <f>IFERROR(IF(G17="","",G17-G16),"")</f>
        <v/>
      </c>
      <c r="H18" s="205">
        <f>IFERROR(IF(H17="","",H17-H16),"")</f>
        <v/>
      </c>
      <c r="K18" s="299" t="n"/>
      <c r="L18" s="363">
        <f>IFERROR(IF(ISBLANK(Table1113[[#This Row],[WEIGHT 1]]),"",VLOOKUP(ROUND(Table1113[[#This Row],[WEIGHT 1]],0),Radwag[],3,Radwag[[#This Row],[Weigh]])),"")</f>
        <v/>
      </c>
      <c r="M18" s="582">
        <f>IFERROR(Table1113[[#This Row],[WEIGHT 1]]+Table1113[[#This Row],[Correcttion 1]],"")</f>
        <v/>
      </c>
      <c r="N18" s="299" t="n"/>
      <c r="O18" s="363">
        <f>IFERROR(IF(ISBLANK(Table1113[[#This Row],[WEIGHT2]]),"",VLOOKUP(ROUND(Table1113[[#This Row],[WEIGHT2]],0),Radwag[],3,Radwag[[#This Row],[Weigh]])),"")</f>
        <v/>
      </c>
      <c r="P18" s="799">
        <f>IFERROR(Table1113[[#This Row],[WEIGHT2]]+Table1113[[#This Row],[Correcttion2]],"")</f>
        <v/>
      </c>
      <c r="AU18" s="619" t="n"/>
      <c r="AV18" s="619" t="n"/>
      <c r="AW18" s="708" t="n"/>
      <c r="AX18" s="708" t="n"/>
      <c r="AY18" s="708" t="n"/>
      <c r="AZ18" s="708" t="n"/>
      <c r="BA18" s="708" t="n"/>
      <c r="BB18" s="708" t="n"/>
      <c r="BC18" s="708" t="n"/>
      <c r="BD18" s="708" t="n"/>
      <c r="BE18" s="708" t="n"/>
      <c r="BF18" s="708" t="n"/>
      <c r="BG18" s="708" t="n"/>
      <c r="BH18" s="708" t="n"/>
      <c r="BI18" s="708" t="n"/>
      <c r="BJ18" s="708" t="n"/>
      <c r="BK18" s="708" t="n"/>
      <c r="BL18" s="708" t="n"/>
      <c r="BM18" s="619" t="n"/>
    </row>
    <row r="19" ht="25.5" customHeight="1" thickBot="1">
      <c r="A19" s="722" t="inlineStr">
        <is>
          <t xml:space="preserve"> (7) TDS = mg/l (6) X 1,000,000 / (3)</t>
        </is>
      </c>
      <c r="B19" s="537" t="n"/>
      <c r="C19" s="206">
        <f>IFERROR(IF(C17="","",C18*1000000/C15),"")</f>
        <v/>
      </c>
      <c r="D19" s="206">
        <f>IFERROR(IF(D17="","",D18*1000000/D15),"")</f>
        <v/>
      </c>
      <c r="E19" s="206">
        <f>IFERROR(IF(E17="","",E18*1000000/E15)-IF($I$24="",$I$23,$I$24),"")</f>
        <v/>
      </c>
      <c r="F19" s="206">
        <f>IFERROR(IF(F17="","",F18*1000000/F15)-IF($I$24="",$I$23,$I$24),"")</f>
        <v/>
      </c>
      <c r="G19" s="206">
        <f>IFERROR(IF(G17="","",G18*1000000/G15),"")</f>
        <v/>
      </c>
      <c r="H19" s="206">
        <f>IFERROR(IF(H17="","",H18*1000000/H15),"")</f>
        <v/>
      </c>
      <c r="K19" s="299" t="n"/>
      <c r="L19" s="363">
        <f>IFERROR(IF(ISBLANK(Table1113[[#This Row],[WEIGHT 1]]),"",VLOOKUP(ROUND(Table1113[[#This Row],[WEIGHT 1]],0),Radwag[],3,Radwag[[#This Row],[Weigh]])),"")</f>
        <v/>
      </c>
      <c r="M19" s="582">
        <f>IFERROR(Table1113[[#This Row],[WEIGHT 1]]+Table1113[[#This Row],[Correcttion 1]],"")</f>
        <v/>
      </c>
      <c r="N19" s="299" t="n"/>
      <c r="O19" s="363">
        <f>IFERROR(IF(ISBLANK(Table1113[[#This Row],[WEIGHT2]]),"",VLOOKUP(ROUND(Table1113[[#This Row],[WEIGHT2]],0),Radwag[],3,Radwag[[#This Row],[Weigh]])),"")</f>
        <v/>
      </c>
      <c r="P19" s="799">
        <f>IFERROR(Table1113[[#This Row],[WEIGHT2]]+Table1113[[#This Row],[Correcttion2]],"")</f>
        <v/>
      </c>
      <c r="AU19" s="619" t="n"/>
      <c r="AV19" s="619" t="n"/>
    </row>
    <row r="20" ht="15.6" customHeight="1">
      <c r="E20" s="807">
        <f>IFERROR(E19/($H$23*1000),"")</f>
        <v/>
      </c>
      <c r="F20" s="807">
        <f>IFERROR(F19/($H$23*1000),"")</f>
        <v/>
      </c>
      <c r="G20" s="731" t="n"/>
      <c r="H20" s="539" t="n"/>
      <c r="K20" s="300" t="n"/>
      <c r="L20" s="364">
        <f>IFERROR(IF(ISBLANK(Table1113[[#This Row],[WEIGHT 1]]),"",VLOOKUP(ROUND(Table1113[[#This Row],[WEIGHT 1]],0),Radwag[],3,Radwag[[#This Row],[Weigh]])),"")</f>
        <v/>
      </c>
      <c r="M20" s="64">
        <f>IFERROR(Table1113[[#This Row],[WEIGHT 1]]+Table1113[[#This Row],[Correcttion 1]],"")</f>
        <v/>
      </c>
      <c r="N20" s="300" t="n"/>
      <c r="O20" s="364">
        <f>IFERROR(IF(ISBLANK(Table1113[[#This Row],[WEIGHT2]]),"",VLOOKUP(ROUND(Table1113[[#This Row],[WEIGHT2]],0),Radwag[],3,Radwag[[#This Row],[Weigh]])),"")</f>
        <v/>
      </c>
      <c r="P20" s="800">
        <f>IFERROR(Table1113[[#This Row],[WEIGHT2]]+Table1113[[#This Row],[Correcttion2]],"")</f>
        <v/>
      </c>
      <c r="AU20" s="619" t="n"/>
      <c r="AV20" s="619" t="n"/>
    </row>
    <row r="21" ht="15.6" customHeight="1">
      <c r="AU21" s="619" t="n"/>
      <c r="AV21" s="619" t="n"/>
    </row>
    <row r="22" ht="15.6" customHeight="1">
      <c r="E22" s="216" t="n"/>
      <c r="F22" s="217" t="inlineStr">
        <is>
          <t>Influent</t>
        </is>
      </c>
      <c r="G22" s="217" t="inlineStr">
        <is>
          <t>Effluent</t>
        </is>
      </c>
      <c r="H22" s="217" t="inlineStr">
        <is>
          <t>Standard</t>
        </is>
      </c>
      <c r="I22" s="217" t="inlineStr">
        <is>
          <t>DW</t>
        </is>
      </c>
      <c r="AU22" s="619" t="n"/>
      <c r="AV22" s="619" t="n"/>
    </row>
    <row r="23" ht="15.6" customHeight="1">
      <c r="E23" s="217" t="inlineStr">
        <is>
          <t>TDS oven 180</t>
        </is>
      </c>
      <c r="F23" s="209">
        <f>IF(C17&gt;0,C19,"")</f>
        <v/>
      </c>
      <c r="G23" s="209">
        <f>IF(D17&gt;0,D19,"")</f>
        <v/>
      </c>
      <c r="H23" s="808" t="n">
        <v>0.0679</v>
      </c>
      <c r="I23" s="809">
        <f>IFERROR(HLOOKUP($I$22,$C$13:$H$19,7,FALSE),"")</f>
        <v/>
      </c>
      <c r="AU23" s="619" t="n"/>
      <c r="AV23" s="619" t="n"/>
    </row>
    <row r="24" ht="15.6" customHeight="1">
      <c r="E24" s="217" t="inlineStr">
        <is>
          <t>Conductivity</t>
        </is>
      </c>
      <c r="F24" s="88" t="n"/>
      <c r="G24" s="88" t="n"/>
      <c r="I24" s="88" t="n"/>
      <c r="AU24" s="619" t="n"/>
      <c r="AV24" s="619" t="n"/>
    </row>
    <row r="25">
      <c r="E25" s="217" t="inlineStr">
        <is>
          <t>TDS</t>
        </is>
      </c>
      <c r="F25" s="209">
        <f>IFERROR(IF(AND(F23="",C14=""),$F$24*$J$8,F23)," ")</f>
        <v/>
      </c>
      <c r="G25" s="209">
        <f>IFERROR(IF(AND(G23="",D14=""),$G$24*$J$9,G23)," ")</f>
        <v/>
      </c>
      <c r="I25" s="314">
        <f>IFERROR(IF(AND(I23="",G14=""),$I$24*$J$10,I23)," ")</f>
        <v/>
      </c>
    </row>
    <row r="26">
      <c r="E26" s="217" t="inlineStr">
        <is>
          <t>Cond Efficiency</t>
        </is>
      </c>
      <c r="F26" s="218">
        <f>IFERROR(IF(F23="","",(J8*F24)/F25),"")</f>
        <v/>
      </c>
      <c r="G26" s="218">
        <f>IFERROR(IF(G23="","",(J9*G24)/G25),"")</f>
        <v/>
      </c>
      <c r="I26" s="218">
        <f>IFERROR(IF(I23="","",(J10*I24)/I25),"")</f>
        <v/>
      </c>
    </row>
    <row r="27" ht="20.1" customHeight="1">
      <c r="AZ27" s="288" t="inlineStr">
        <is>
          <t>Column1</t>
        </is>
      </c>
      <c r="BA27" s="289" t="inlineStr">
        <is>
          <t>15</t>
        </is>
      </c>
      <c r="BB27" s="289" t="inlineStr">
        <is>
          <t>16</t>
        </is>
      </c>
      <c r="BC27" s="289" t="inlineStr">
        <is>
          <t>17</t>
        </is>
      </c>
      <c r="BD27" s="289" t="inlineStr">
        <is>
          <t>18</t>
        </is>
      </c>
      <c r="BE27" s="289" t="inlineStr">
        <is>
          <t>19</t>
        </is>
      </c>
      <c r="BF27" s="289" t="inlineStr">
        <is>
          <t>20</t>
        </is>
      </c>
      <c r="BG27" s="289" t="inlineStr">
        <is>
          <t>21</t>
        </is>
      </c>
      <c r="BH27" s="289" t="inlineStr">
        <is>
          <t>22</t>
        </is>
      </c>
      <c r="BI27" s="289" t="inlineStr">
        <is>
          <t>23</t>
        </is>
      </c>
      <c r="BJ27" s="289" t="inlineStr">
        <is>
          <t>24</t>
        </is>
      </c>
      <c r="BK27" s="289" t="inlineStr">
        <is>
          <t>25</t>
        </is>
      </c>
      <c r="BL27" s="289" t="inlineStr">
        <is>
          <t>26</t>
        </is>
      </c>
      <c r="BM27" s="289" t="inlineStr">
        <is>
          <t>27</t>
        </is>
      </c>
      <c r="BN27" s="289" t="inlineStr">
        <is>
          <t>28</t>
        </is>
      </c>
      <c r="BO27" s="289" t="inlineStr">
        <is>
          <t>29</t>
        </is>
      </c>
      <c r="BP27" s="289" t="inlineStr">
        <is>
          <t>30</t>
        </is>
      </c>
    </row>
    <row r="28" ht="20.1" customHeight="1">
      <c r="G28" s="728" t="inlineStr">
        <is>
          <t>رجوع</t>
        </is>
      </c>
      <c r="H28" s="534" t="n"/>
      <c r="AZ28" s="810" t="n"/>
      <c r="BA28" s="290" t="n">
        <v>15</v>
      </c>
      <c r="BB28" s="290" t="n">
        <v>16</v>
      </c>
      <c r="BC28" s="290" t="n">
        <v>17</v>
      </c>
      <c r="BD28" s="290" t="n">
        <v>18</v>
      </c>
      <c r="BE28" s="290" t="n">
        <v>19</v>
      </c>
      <c r="BF28" s="290" t="n">
        <v>20</v>
      </c>
      <c r="BG28" s="290" t="n">
        <v>21</v>
      </c>
      <c r="BH28" s="290" t="n">
        <v>22</v>
      </c>
      <c r="BI28" s="290" t="n">
        <v>23</v>
      </c>
      <c r="BJ28" s="290" t="n">
        <v>24</v>
      </c>
      <c r="BK28" s="290" t="n">
        <v>25</v>
      </c>
      <c r="BL28" s="290" t="n">
        <v>26</v>
      </c>
      <c r="BM28" s="290" t="n">
        <v>27</v>
      </c>
      <c r="BN28" s="290" t="n">
        <v>28</v>
      </c>
      <c r="BO28" s="290" t="n">
        <v>29</v>
      </c>
      <c r="BP28" s="290" t="n">
        <v>30</v>
      </c>
    </row>
    <row r="29" ht="20.1" customHeight="1">
      <c r="A29" s="582" t="n"/>
      <c r="G29" s="534" t="n"/>
      <c r="H29" s="534" t="n"/>
      <c r="AZ29" s="811" t="n">
        <v>0</v>
      </c>
      <c r="BA29" s="810" t="n">
        <v>1147</v>
      </c>
      <c r="BB29" s="810" t="n">
        <v>1173</v>
      </c>
      <c r="BC29" s="810" t="n">
        <v>1199</v>
      </c>
      <c r="BD29" s="810" t="n">
        <v>1225</v>
      </c>
      <c r="BE29" s="810" t="n">
        <v>1251</v>
      </c>
      <c r="BF29" s="810" t="n">
        <v>1278</v>
      </c>
      <c r="BG29" s="810" t="n">
        <v>1305</v>
      </c>
      <c r="BH29" s="810" t="n">
        <v>1332</v>
      </c>
      <c r="BI29" s="810" t="n">
        <v>1359</v>
      </c>
      <c r="BJ29" s="810" t="n">
        <v>1386</v>
      </c>
      <c r="BK29" s="810" t="n">
        <v>1413</v>
      </c>
      <c r="BL29" s="810" t="n">
        <v>1440</v>
      </c>
      <c r="BM29" s="810" t="n">
        <v>1467</v>
      </c>
      <c r="BN29" s="810" t="n">
        <v>1494</v>
      </c>
      <c r="BO29" s="810" t="n">
        <v>1522</v>
      </c>
      <c r="BP29" s="810" t="n">
        <v>1549</v>
      </c>
    </row>
    <row r="30" ht="20.1" customHeight="1">
      <c r="G30" s="534" t="n"/>
      <c r="H30" s="534" t="n"/>
      <c r="AZ30" s="810" t="n">
        <v>0.1</v>
      </c>
      <c r="BA30" s="811" t="n">
        <v>1149.6</v>
      </c>
      <c r="BB30" s="811" t="n">
        <v>1175.6</v>
      </c>
      <c r="BC30" s="811" t="n">
        <v>1201.6</v>
      </c>
      <c r="BD30" s="811" t="n">
        <v>1227.6</v>
      </c>
      <c r="BE30" s="811" t="n">
        <v>1253.7</v>
      </c>
      <c r="BF30" s="811" t="n">
        <v>1280.7</v>
      </c>
      <c r="BG30" s="811" t="n">
        <v>1307.7</v>
      </c>
      <c r="BH30" s="811" t="n">
        <v>1334.7</v>
      </c>
      <c r="BI30" s="811" t="n">
        <v>1361.7</v>
      </c>
      <c r="BJ30" s="811" t="n">
        <v>1388.7</v>
      </c>
      <c r="BK30" s="811" t="n">
        <v>1415.7</v>
      </c>
      <c r="BL30" s="811" t="n">
        <v>1442.7</v>
      </c>
      <c r="BM30" s="811" t="n">
        <v>1469.7</v>
      </c>
      <c r="BN30" s="811" t="n">
        <v>1496.8</v>
      </c>
      <c r="BO30" s="811" t="n">
        <v>1524.7</v>
      </c>
      <c r="BP30" s="811" t="n">
        <v>1551.7</v>
      </c>
    </row>
    <row r="31" ht="20.1" customHeight="1">
      <c r="G31" s="534" t="n"/>
      <c r="H31" s="534" t="n"/>
      <c r="AZ31" s="811" t="n">
        <v>0.2</v>
      </c>
      <c r="BA31" s="810" t="n">
        <v>1152.2</v>
      </c>
      <c r="BB31" s="810" t="n">
        <v>1178.2</v>
      </c>
      <c r="BC31" s="810" t="n">
        <v>1204.2</v>
      </c>
      <c r="BD31" s="810" t="n">
        <v>1230.2</v>
      </c>
      <c r="BE31" s="810" t="n">
        <v>1256.4</v>
      </c>
      <c r="BF31" s="810" t="n">
        <v>1283.4</v>
      </c>
      <c r="BG31" s="810" t="n">
        <v>1310.4</v>
      </c>
      <c r="BH31" s="810" t="n">
        <v>1337.4</v>
      </c>
      <c r="BI31" s="810" t="n">
        <v>1364.4</v>
      </c>
      <c r="BJ31" s="810" t="n">
        <v>1391.4</v>
      </c>
      <c r="BK31" s="810" t="n">
        <v>1418.4</v>
      </c>
      <c r="BL31" s="810" t="n">
        <v>1445.4</v>
      </c>
      <c r="BM31" s="810" t="n">
        <v>1472.4</v>
      </c>
      <c r="BN31" s="810" t="n">
        <v>1499.6</v>
      </c>
      <c r="BO31" s="810" t="n">
        <v>1527.4</v>
      </c>
      <c r="BP31" s="810" t="n">
        <v>1554.4</v>
      </c>
    </row>
    <row r="32" ht="20.1" customHeight="1">
      <c r="AZ32" s="810" t="n">
        <v>0.3</v>
      </c>
      <c r="BA32" s="811" t="n">
        <v>1154.8</v>
      </c>
      <c r="BB32" s="811" t="n">
        <v>1180.8</v>
      </c>
      <c r="BC32" s="811" t="n">
        <v>1206.8</v>
      </c>
      <c r="BD32" s="811" t="n">
        <v>1232.8</v>
      </c>
      <c r="BE32" s="811" t="n">
        <v>1259.1</v>
      </c>
      <c r="BF32" s="811" t="n">
        <v>1286.1</v>
      </c>
      <c r="BG32" s="811" t="n">
        <v>1313.1</v>
      </c>
      <c r="BH32" s="811" t="n">
        <v>1340.1</v>
      </c>
      <c r="BI32" s="811" t="n">
        <v>1367.1</v>
      </c>
      <c r="BJ32" s="811" t="n">
        <v>1394.1</v>
      </c>
      <c r="BK32" s="811" t="n">
        <v>1421.1</v>
      </c>
      <c r="BL32" s="811" t="n">
        <v>1448.1</v>
      </c>
      <c r="BM32" s="811" t="n">
        <v>1475.1</v>
      </c>
      <c r="BN32" s="811" t="n">
        <v>1502.4</v>
      </c>
      <c r="BO32" s="811" t="n">
        <v>1530.1</v>
      </c>
      <c r="BP32" s="811" t="n">
        <v>1557.1</v>
      </c>
    </row>
    <row r="33" ht="20.1" customHeight="1">
      <c r="AZ33" s="811" t="n">
        <v>0.4</v>
      </c>
      <c r="BA33" s="810" t="n">
        <v>1157.4</v>
      </c>
      <c r="BB33" s="810" t="n">
        <v>1183.4</v>
      </c>
      <c r="BC33" s="810" t="n">
        <v>1209.4</v>
      </c>
      <c r="BD33" s="810" t="n">
        <v>1235.4</v>
      </c>
      <c r="BE33" s="810" t="n">
        <v>1261.8</v>
      </c>
      <c r="BF33" s="810" t="n">
        <v>1288.8</v>
      </c>
      <c r="BG33" s="810" t="n">
        <v>1315.8</v>
      </c>
      <c r="BH33" s="810" t="n">
        <v>1342.8</v>
      </c>
      <c r="BI33" s="810" t="n">
        <v>1369.8</v>
      </c>
      <c r="BJ33" s="810" t="n">
        <v>1396.8</v>
      </c>
      <c r="BK33" s="810" t="n">
        <v>1423.8</v>
      </c>
      <c r="BL33" s="810" t="n">
        <v>1450.8</v>
      </c>
      <c r="BM33" s="810" t="n">
        <v>1477.8</v>
      </c>
      <c r="BN33" s="810" t="n">
        <v>1505.2</v>
      </c>
      <c r="BO33" s="810" t="n">
        <v>1532.8</v>
      </c>
      <c r="BP33" s="810" t="n">
        <v>1559.8</v>
      </c>
    </row>
    <row r="34" ht="20.1" customHeight="1">
      <c r="AZ34" s="810" t="n">
        <v>0.5</v>
      </c>
      <c r="BA34" s="811" t="n">
        <v>1160</v>
      </c>
      <c r="BB34" s="811" t="n">
        <v>1186</v>
      </c>
      <c r="BC34" s="811" t="n">
        <v>1212</v>
      </c>
      <c r="BD34" s="811" t="n">
        <v>1238</v>
      </c>
      <c r="BE34" s="811" t="n">
        <v>1264.5</v>
      </c>
      <c r="BF34" s="811" t="n">
        <v>1291.5</v>
      </c>
      <c r="BG34" s="811" t="n">
        <v>1318.5</v>
      </c>
      <c r="BH34" s="811" t="n">
        <v>1345.5</v>
      </c>
      <c r="BI34" s="811" t="n">
        <v>1372.5</v>
      </c>
      <c r="BJ34" s="811" t="n">
        <v>1399.5</v>
      </c>
      <c r="BK34" s="811" t="n">
        <v>1426.5</v>
      </c>
      <c r="BL34" s="811" t="n">
        <v>1453.5</v>
      </c>
      <c r="BM34" s="811" t="n">
        <v>1480.5</v>
      </c>
      <c r="BN34" s="811" t="n">
        <v>1508</v>
      </c>
      <c r="BO34" s="811" t="n">
        <v>1535.5</v>
      </c>
      <c r="BP34" s="811" t="n">
        <v>1562.5</v>
      </c>
    </row>
    <row r="35" ht="20.1" customHeight="1">
      <c r="AZ35" s="811" t="n">
        <v>0.6</v>
      </c>
      <c r="BA35" s="811" t="n">
        <v>1162.6</v>
      </c>
      <c r="BB35" s="811" t="n">
        <v>1188.6</v>
      </c>
      <c r="BC35" s="811" t="n">
        <v>1214.6</v>
      </c>
      <c r="BD35" s="811" t="n">
        <v>1240.6</v>
      </c>
      <c r="BE35" s="811" t="n">
        <v>1267.2</v>
      </c>
      <c r="BF35" s="811" t="n">
        <v>1294.2</v>
      </c>
      <c r="BG35" s="811" t="n">
        <v>1321.2</v>
      </c>
      <c r="BH35" s="811" t="n">
        <v>1348.2</v>
      </c>
      <c r="BI35" s="811" t="n">
        <v>1375.2</v>
      </c>
      <c r="BJ35" s="811" t="n">
        <v>1402.2</v>
      </c>
      <c r="BK35" s="811" t="n">
        <v>1429.2</v>
      </c>
      <c r="BL35" s="811" t="n">
        <v>1456.2</v>
      </c>
      <c r="BM35" s="811" t="n">
        <v>1483.2</v>
      </c>
      <c r="BN35" s="811" t="n">
        <v>1510.8</v>
      </c>
      <c r="BO35" s="811" t="n">
        <v>1538.2</v>
      </c>
      <c r="BP35" s="811" t="n">
        <v>1565.2</v>
      </c>
    </row>
    <row r="36" ht="20.1" customHeight="1">
      <c r="AZ36" s="810" t="n">
        <v>0.7</v>
      </c>
      <c r="BA36" s="810" t="n">
        <v>1165.2</v>
      </c>
      <c r="BB36" s="810" t="n">
        <v>1191.2</v>
      </c>
      <c r="BC36" s="810" t="n">
        <v>1217.2</v>
      </c>
      <c r="BD36" s="810" t="n">
        <v>1243.2</v>
      </c>
      <c r="BE36" s="810" t="n">
        <v>1269.9</v>
      </c>
      <c r="BF36" s="810" t="n">
        <v>1296.9</v>
      </c>
      <c r="BG36" s="810" t="n">
        <v>1323.9</v>
      </c>
      <c r="BH36" s="810" t="n">
        <v>1350.9</v>
      </c>
      <c r="BI36" s="810" t="n">
        <v>1377.9</v>
      </c>
      <c r="BJ36" s="810" t="n">
        <v>1404.9</v>
      </c>
      <c r="BK36" s="810" t="n">
        <v>1431.9</v>
      </c>
      <c r="BL36" s="810" t="n">
        <v>1458.9</v>
      </c>
      <c r="BM36" s="810" t="n">
        <v>1485.9</v>
      </c>
      <c r="BN36" s="810" t="n">
        <v>1513.6</v>
      </c>
      <c r="BO36" s="810" t="n">
        <v>1540.9</v>
      </c>
      <c r="BP36" s="810" t="n">
        <v>1567.9</v>
      </c>
    </row>
    <row r="37" ht="20.1" customHeight="1">
      <c r="AZ37" s="811" t="n">
        <v>0.8</v>
      </c>
      <c r="BA37" s="811" t="n">
        <v>1167.8</v>
      </c>
      <c r="BB37" s="811" t="n">
        <v>1193.8</v>
      </c>
      <c r="BC37" s="811" t="n">
        <v>1219.8</v>
      </c>
      <c r="BD37" s="811" t="n">
        <v>1245.8</v>
      </c>
      <c r="BE37" s="811" t="n">
        <v>1272.6</v>
      </c>
      <c r="BF37" s="811" t="n">
        <v>1299.6</v>
      </c>
      <c r="BG37" s="811" t="n">
        <v>1326.6</v>
      </c>
      <c r="BH37" s="811" t="n">
        <v>1353.6</v>
      </c>
      <c r="BI37" s="811" t="n">
        <v>1380.6</v>
      </c>
      <c r="BJ37" s="811" t="n">
        <v>1407.6</v>
      </c>
      <c r="BK37" s="811" t="n">
        <v>1434.6</v>
      </c>
      <c r="BL37" s="811" t="n">
        <v>1461.6</v>
      </c>
      <c r="BM37" s="811" t="n">
        <v>1488.6</v>
      </c>
      <c r="BN37" s="811" t="n">
        <v>1516.4</v>
      </c>
      <c r="BO37" s="811" t="n">
        <v>1543.6</v>
      </c>
      <c r="BP37" s="811" t="n">
        <v>1570.6</v>
      </c>
    </row>
    <row r="38" ht="15.6" customHeight="1">
      <c r="AZ38" s="812" t="n">
        <v>0.9</v>
      </c>
      <c r="BA38" s="812" t="n">
        <v>1170.4</v>
      </c>
      <c r="BB38" s="812" t="n">
        <v>1196.4</v>
      </c>
      <c r="BC38" s="812" t="n">
        <v>1222.4</v>
      </c>
      <c r="BD38" s="812" t="n">
        <v>1248.4</v>
      </c>
      <c r="BE38" s="812" t="n">
        <v>1275.3</v>
      </c>
      <c r="BF38" s="812" t="n">
        <v>1302.3</v>
      </c>
      <c r="BG38" s="812" t="n">
        <v>1329.3</v>
      </c>
      <c r="BH38" s="812" t="n">
        <v>1356.3</v>
      </c>
      <c r="BI38" s="812" t="n">
        <v>1383.3</v>
      </c>
      <c r="BJ38" s="812" t="n">
        <v>1410.3</v>
      </c>
      <c r="BK38" s="812" t="n">
        <v>1437.3</v>
      </c>
      <c r="BL38" s="812" t="n">
        <v>1464.3</v>
      </c>
      <c r="BM38" s="812" t="n">
        <v>1491.3</v>
      </c>
      <c r="BN38" s="812" t="n">
        <v>1519.2</v>
      </c>
      <c r="BO38" s="812" t="n">
        <v>1546.3</v>
      </c>
      <c r="BP38" s="812" t="n">
        <v>1573.3</v>
      </c>
    </row>
    <row r="39" ht="20.1" customHeight="1">
      <c r="C39" s="614" t="inlineStr">
        <is>
          <t>Date</t>
        </is>
      </c>
      <c r="D39" s="614" t="inlineStr">
        <is>
          <t>Equipment</t>
        </is>
      </c>
      <c r="E39" s="614" t="inlineStr">
        <is>
          <t>Temp °c</t>
        </is>
      </c>
      <c r="F39" s="614" t="inlineStr">
        <is>
          <t>uS/cm</t>
        </is>
      </c>
      <c r="G39" s="614" t="inlineStr">
        <is>
          <t>Found uS/cm</t>
        </is>
      </c>
      <c r="H39" s="614" t="inlineStr">
        <is>
          <t>Re-read</t>
        </is>
      </c>
      <c r="I39" s="614" t="inlineStr">
        <is>
          <t>Remark</t>
        </is>
      </c>
    </row>
    <row r="40" ht="20.1" customHeight="1">
      <c r="C40" s="293">
        <f>IF(Table9[[#This Row],[Temp °c]]="","",Main!$D$11)</f>
        <v/>
      </c>
      <c r="D40" s="292" t="inlineStr">
        <is>
          <t>HACH</t>
        </is>
      </c>
      <c r="E40" s="291" t="n"/>
      <c r="F40" s="292">
        <f>IFERROR(INDEX(conductivity[[15]:[30]],MATCH(ROUND(Table9[[#This Row],[Temp °c]]-TRUNC(Table9[[#This Row],[Temp °c]]),1),conductivity[Column1],0),MATCH(TRUNC(Table9[[#This Row],[Temp °c]]),$BA$28:$BP$28,0)),"")</f>
        <v/>
      </c>
      <c r="G40" s="291" t="n"/>
      <c r="H40" s="291" t="n"/>
      <c r="I40" s="292">
        <f>IFERROR(IF(Table9[[#This Row],[Re-read]]="","",IF(ABS(Table9[[#This Row],[Re-read]]-Table9[[#This Row],[uS/cm]])&gt;(0.08*Table9[[#This Row],[uS/cm]]),"Rejected","ACC")),"")</f>
        <v/>
      </c>
    </row>
    <row r="41" ht="20.1" customHeight="1">
      <c r="C41" s="293">
        <f>IF(Table9[[#This Row],[Temp °c]]="","",Main!$D$11)</f>
        <v/>
      </c>
      <c r="D41" s="292" t="inlineStr">
        <is>
          <t>ORION</t>
        </is>
      </c>
      <c r="E41" s="291" t="n"/>
      <c r="F41" s="292">
        <f>IFERROR(INDEX(conductivity[[15]:[30]],MATCH(ROUND(Table9[[#This Row],[Temp °c]]-TRUNC(Table9[[#This Row],[Temp °c]]),1),conductivity[Column1],0),MATCH(TRUNC(Table9[[#This Row],[Temp °c]]),$BA$28:$BP$28,0)),"")</f>
        <v/>
      </c>
      <c r="G41" s="291" t="n"/>
      <c r="H41" s="291" t="n"/>
      <c r="I41" s="292">
        <f>IFERROR(IF(Table9[[#This Row],[Re-read]]="","",IF(ABS(Table9[[#This Row],[Re-read]]-Table9[[#This Row],[uS/cm]])&gt;(0.08*Table9[[#This Row],[uS/cm]]),"Rejected","ACC")),"")</f>
        <v/>
      </c>
    </row>
    <row r="42" ht="20.1" customHeight="1">
      <c r="C42" s="293">
        <f>IF(Table9[[#This Row],[Temp °c]]="","",Main!$D$11)</f>
        <v/>
      </c>
      <c r="D42" s="292" t="inlineStr">
        <is>
          <t>Multi-Electrode</t>
        </is>
      </c>
      <c r="E42" s="291" t="n"/>
      <c r="F42" s="292">
        <f>IFERROR(INDEX(conductivity[[15]:[30]],MATCH(ROUND(Table9[[#This Row],[Temp °c]]-TRUNC(Table9[[#This Row],[Temp °c]]),1),conductivity[Column1],0),MATCH(TRUNC(Table9[[#This Row],[Temp °c]]),$BA$28:$BP$28,0)),"")</f>
        <v/>
      </c>
      <c r="G42" s="291" t="n"/>
      <c r="H42" s="291" t="n"/>
      <c r="I42" s="292">
        <f>IFERROR(IF(Table9[[#This Row],[Re-read]]="","",IF(ABS(Table9[[#This Row],[Re-read]]-Table9[[#This Row],[uS/cm]])&gt;(0.08*Table9[[#This Row],[uS/cm]]),"Rejected","ACC")),"")</f>
        <v/>
      </c>
    </row>
    <row r="46">
      <c r="I46" s="775" t="n"/>
    </row>
    <row r="47">
      <c r="E47" s="297" t="n"/>
      <c r="I47" s="775" t="n"/>
    </row>
    <row r="48">
      <c r="F48" s="775" t="n"/>
    </row>
    <row r="49">
      <c r="E49" s="219" t="n"/>
    </row>
    <row r="50">
      <c r="E50" s="287" t="n"/>
    </row>
    <row r="63" ht="20.1" customHeight="1">
      <c r="A63" s="614" t="inlineStr">
        <is>
          <t>تصرف الطلمبات</t>
        </is>
      </c>
      <c r="B63" s="614" t="inlineStr">
        <is>
          <t>طامية</t>
        </is>
      </c>
      <c r="C63" s="614" t="inlineStr">
        <is>
          <t>الروضة</t>
        </is>
      </c>
      <c r="D63" s="614" t="inlineStr">
        <is>
          <t>الروبيات</t>
        </is>
      </c>
      <c r="E63" s="614" t="inlineStr">
        <is>
          <t>محطة المعالجة</t>
        </is>
      </c>
      <c r="F63" s="614" t="inlineStr">
        <is>
          <t>RAS</t>
        </is>
      </c>
      <c r="G63" s="614" t="inlineStr">
        <is>
          <t>WAS</t>
        </is>
      </c>
    </row>
    <row r="64" ht="20.1" customHeight="1">
      <c r="A64" s="294" t="inlineStr">
        <is>
          <t>L/S</t>
        </is>
      </c>
      <c r="B64" s="294" t="n">
        <v>210</v>
      </c>
      <c r="C64" s="294" t="n">
        <v>75</v>
      </c>
      <c r="D64" s="294" t="n">
        <v>150</v>
      </c>
      <c r="E64" s="295" t="n"/>
      <c r="F64" s="295" t="n"/>
      <c r="G64" s="295" t="n"/>
    </row>
    <row r="65" ht="20.1" customHeight="1">
      <c r="A65" s="294" t="inlineStr">
        <is>
          <t>m3 /hr</t>
        </is>
      </c>
      <c r="B65" s="294">
        <f>(B64/1000)*60*60</f>
        <v/>
      </c>
      <c r="C65" s="294">
        <f>(C64/1000)*60*60</f>
        <v/>
      </c>
      <c r="D65" s="294">
        <f>(D64/1000)*60*60</f>
        <v/>
      </c>
      <c r="E65" s="294" t="n">
        <v>834</v>
      </c>
      <c r="F65" s="294" t="n">
        <v>540</v>
      </c>
      <c r="G65" s="294" t="n">
        <v>43.2</v>
      </c>
    </row>
    <row r="66" ht="20.1" customHeight="1">
      <c r="A66" s="294" t="inlineStr">
        <is>
          <t>m3/ 12 hr</t>
        </is>
      </c>
      <c r="B66" s="294">
        <f>B65*12</f>
        <v/>
      </c>
      <c r="C66" s="294">
        <f>C65*12</f>
        <v/>
      </c>
      <c r="D66" s="294">
        <f>D65*12</f>
        <v/>
      </c>
      <c r="E66" s="294">
        <f>E65*12</f>
        <v/>
      </c>
      <c r="F66" s="294">
        <f>F65*12</f>
        <v/>
      </c>
      <c r="G66" s="294">
        <f>G65*12</f>
        <v/>
      </c>
    </row>
    <row r="67">
      <c r="A67" s="377" t="inlineStr">
        <is>
          <t>m3/day</t>
        </is>
      </c>
      <c r="B67" s="377">
        <f>B65*24</f>
        <v/>
      </c>
      <c r="C67" s="377">
        <f>C65*24</f>
        <v/>
      </c>
      <c r="D67" s="377">
        <f>D65*24</f>
        <v/>
      </c>
      <c r="E67" s="377">
        <f>E65*24</f>
        <v/>
      </c>
      <c r="F67" s="377">
        <f>F65*24</f>
        <v/>
      </c>
      <c r="G67" s="377">
        <f>G65*24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5A6"/>
  <mergeCells count="21">
    <mergeCell ref="G12:H12"/>
    <mergeCell ref="D10:E10"/>
    <mergeCell ref="A15:B15"/>
    <mergeCell ref="G11:H11"/>
    <mergeCell ref="A12:C12"/>
    <mergeCell ref="A16:B16"/>
    <mergeCell ref="D11:E11"/>
    <mergeCell ref="G10:H10"/>
    <mergeCell ref="A18:B18"/>
    <mergeCell ref="A10:C10"/>
    <mergeCell ref="K6:M6"/>
    <mergeCell ref="J7:K7"/>
    <mergeCell ref="A14:B14"/>
    <mergeCell ref="A17:B17"/>
    <mergeCell ref="G20:H20"/>
    <mergeCell ref="A11:C11"/>
    <mergeCell ref="A19:B19"/>
    <mergeCell ref="A13:B13"/>
    <mergeCell ref="P7:S7"/>
    <mergeCell ref="G28:H31"/>
    <mergeCell ref="S8:U8"/>
  </mergeCells>
  <hyperlinks>
    <hyperlink ref="G28" location="Main!A1" display="رجوع"/>
  </hyperlinks>
  <pageMargins left="0.748030402449694" right="0.748030402449694" top="0.984251968503937" bottom="0.984251968503937" header="0.511809930008749" footer="0.511809930008749"/>
  <pageSetup orientation="landscape" paperSize="9" scale="77"/>
  <colBreaks count="1" manualBreakCount="1">
    <brk id="8" min="0" max="1048575" man="1"/>
  </colBreaks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4.xml><?xml version="1.0" encoding="utf-8"?>
<worksheet xmlns="http://schemas.openxmlformats.org/spreadsheetml/2006/main">
  <sheetPr codeName="Sheet14">
    <outlinePr summaryBelow="1" summaryRight="1"/>
    <pageSetUpPr fitToPage="1"/>
  </sheetPr>
  <dimension ref="A6:T28"/>
  <sheetViews>
    <sheetView topLeftCell="A13" zoomScaleNormal="100" workbookViewId="0">
      <selection activeCell="D30" sqref="D30"/>
    </sheetView>
  </sheetViews>
  <sheetFormatPr baseColWidth="8" defaultColWidth="9.109375" defaultRowHeight="13.2"/>
  <cols>
    <col width="52.109375" customWidth="1" style="534" min="1" max="1"/>
    <col width="9.109375" customWidth="1" style="534" min="2" max="2"/>
    <col width="18.33203125" customWidth="1" style="534" min="3" max="6"/>
    <col width="18.109375" customWidth="1" style="534" min="7" max="7"/>
    <col width="18.33203125" customWidth="1" style="534" min="8" max="9"/>
    <col width="18.109375" customWidth="1" style="534" min="10" max="10"/>
    <col width="9.109375" customWidth="1" style="534" min="11" max="13"/>
    <col width="7.5546875" customWidth="1" style="534" min="14" max="14"/>
    <col width="14.5546875" bestFit="1" customWidth="1" style="534" min="15" max="15"/>
    <col width="17.109375" bestFit="1" customWidth="1" style="534" min="16" max="16"/>
    <col width="16.88671875" bestFit="1" customWidth="1" style="534" min="17" max="17"/>
    <col width="14" bestFit="1" customWidth="1" style="534" min="18" max="18"/>
    <col width="16.5546875" bestFit="1" customWidth="1" style="534" min="19" max="19"/>
    <col width="16.33203125" bestFit="1" customWidth="1" style="534" min="20" max="20"/>
    <col width="9.109375" customWidth="1" style="534" min="21" max="22"/>
    <col width="9.109375" customWidth="1" style="534" min="23" max="16384"/>
  </cols>
  <sheetData>
    <row r="5" ht="24.9" customHeight="1"/>
    <row r="6" ht="24.9" customHeight="1">
      <c r="A6" s="49" t="inlineStr">
        <is>
          <t>Holding Company</t>
        </is>
      </c>
      <c r="B6" s="49" t="n"/>
      <c r="C6" s="49" t="n"/>
      <c r="D6" s="49" t="n"/>
      <c r="E6" s="49" t="n"/>
      <c r="F6" s="49" t="n"/>
      <c r="G6" s="116" t="n"/>
      <c r="H6" s="116" t="n"/>
      <c r="I6" s="117" t="inlineStr">
        <is>
          <t xml:space="preserve">                        الشركة القابضة</t>
        </is>
      </c>
      <c r="J6" s="1" t="n"/>
    </row>
    <row r="7" ht="24.9" customHeight="1">
      <c r="A7" s="49" t="inlineStr">
        <is>
          <t>Fayoum drinking Water and Sanitation Company</t>
        </is>
      </c>
      <c r="B7" s="116" t="n"/>
      <c r="C7" s="116" t="n"/>
      <c r="D7" s="116" t="n"/>
      <c r="E7" s="116" t="n"/>
      <c r="F7" s="116" t="n"/>
      <c r="G7" s="116" t="n"/>
      <c r="H7" s="116" t="n"/>
      <c r="I7" s="117" t="inlineStr">
        <is>
          <t>شركة مياه الشرب والصرف الصحى بالفيوم</t>
        </is>
      </c>
      <c r="J7" s="1" t="n"/>
    </row>
    <row r="8" ht="24.9" customHeight="1" thickBot="1">
      <c r="A8" s="191" t="n"/>
      <c r="B8" s="191" t="n"/>
      <c r="C8" s="191" t="n"/>
      <c r="D8" s="191" t="n"/>
      <c r="E8" s="191" t="n"/>
      <c r="F8" s="191" t="n"/>
      <c r="G8" s="191" t="n"/>
      <c r="H8" s="191" t="n"/>
      <c r="I8" s="192" t="inlineStr">
        <is>
          <t>قطاع المعامل - الادارة العامة لمعامل الصرف الصحى</t>
        </is>
      </c>
      <c r="J8" s="193" t="n"/>
    </row>
    <row r="9" ht="24.9" customHeight="1" thickBot="1">
      <c r="A9" s="425" t="inlineStr">
        <is>
          <t>WASTWATER TREATMENT PLANT LABORATORY</t>
        </is>
      </c>
      <c r="B9" s="213" t="n"/>
      <c r="C9" s="213" t="n"/>
      <c r="D9" s="213" t="n"/>
      <c r="E9" s="213" t="n"/>
      <c r="F9" s="213" t="n"/>
      <c r="G9" s="213" t="n"/>
      <c r="H9" s="213" t="n"/>
      <c r="I9" s="213" t="n"/>
      <c r="J9" s="214" t="n"/>
    </row>
    <row r="10" ht="24.9" customHeight="1">
      <c r="A10" s="733" t="inlineStr">
        <is>
          <t>Oil and Grease ( O&amp;G  ) WORK SHEET</t>
        </is>
      </c>
      <c r="B10" s="650" t="n"/>
      <c r="C10" s="647" t="n"/>
      <c r="D10" s="734">
        <f>Sulfide!D6</f>
        <v/>
      </c>
      <c r="E10" s="617" t="n"/>
      <c r="F10" s="617" t="n"/>
      <c r="G10" s="618" t="n"/>
      <c r="H10" s="195" t="inlineStr">
        <is>
          <t xml:space="preserve">FORM ID:               </t>
        </is>
      </c>
      <c r="I10" s="663" t="n"/>
      <c r="J10" s="647" t="n"/>
    </row>
    <row r="11" ht="24.9" customFormat="1" customHeight="1" s="134">
      <c r="A11" s="732" t="inlineStr">
        <is>
          <t>20th EDITION, of The Standard Method for the Examination of Water and Wastewater</t>
        </is>
      </c>
      <c r="B11" s="539" t="n"/>
      <c r="C11" s="540" t="n"/>
      <c r="D11" s="720">
        <f>Sulfide!D7</f>
        <v/>
      </c>
      <c r="E11" s="574" t="n"/>
      <c r="F11" s="574" t="n"/>
      <c r="G11" s="621" t="n"/>
      <c r="H11" s="196" t="inlineStr">
        <is>
          <t>SAMPLE DATE:</t>
        </is>
      </c>
      <c r="I11" s="659">
        <f>Main!D11</f>
        <v/>
      </c>
      <c r="J11" s="569" t="n"/>
      <c r="K11" s="534" t="n"/>
      <c r="L11" s="534" t="n"/>
      <c r="M11" s="534" t="n"/>
      <c r="N11" s="534" t="n"/>
    </row>
    <row r="12" ht="24.9" customHeight="1" thickBot="1">
      <c r="A12" s="735" t="n"/>
      <c r="B12" s="661" t="n"/>
      <c r="C12" s="736" t="n"/>
      <c r="D12" s="388">
        <f>Sulfide!D8</f>
        <v/>
      </c>
      <c r="E12" s="392" t="n"/>
      <c r="F12" s="392" t="n"/>
      <c r="G12" s="391" t="n"/>
      <c r="H12" s="199" t="inlineStr">
        <is>
          <t xml:space="preserve">  ANALYSIS DATE:</t>
        </is>
      </c>
      <c r="I12" s="655">
        <f>Main!K11</f>
        <v/>
      </c>
      <c r="J12" s="656" t="n"/>
    </row>
    <row r="13" ht="24.9" customHeight="1" thickBot="1">
      <c r="A13" s="649" t="inlineStr">
        <is>
          <t xml:space="preserve"> (1) SAMPLE TYPE/ ID</t>
        </is>
      </c>
      <c r="B13" s="650" t="n"/>
      <c r="C13" s="200" t="inlineStr">
        <is>
          <t>Influent</t>
        </is>
      </c>
      <c r="D13" s="201" t="inlineStr">
        <is>
          <t>Effluent</t>
        </is>
      </c>
      <c r="E13" s="202" t="n"/>
      <c r="F13" s="202" t="n"/>
      <c r="G13" s="215" t="n"/>
      <c r="H13" s="203" t="n"/>
      <c r="I13" s="203" t="n"/>
      <c r="J13" s="203" t="n"/>
      <c r="K13" s="644" t="n"/>
      <c r="L13" s="534" t="n"/>
      <c r="N13" s="348" t="inlineStr">
        <is>
          <t>S.N.</t>
        </is>
      </c>
      <c r="O13" s="349" t="inlineStr">
        <is>
          <t>WEIGHT 1</t>
        </is>
      </c>
      <c r="P13" s="349" t="inlineStr">
        <is>
          <t>Correcttion 1</t>
        </is>
      </c>
      <c r="Q13" s="350" t="inlineStr">
        <is>
          <t>Net weight 1</t>
        </is>
      </c>
      <c r="R13" s="349" t="inlineStr">
        <is>
          <t>WEIGHT2</t>
        </is>
      </c>
      <c r="S13" s="349" t="inlineStr">
        <is>
          <t>Correcttion2</t>
        </is>
      </c>
      <c r="T13" s="349" t="inlineStr">
        <is>
          <t>Net weight2</t>
        </is>
      </c>
    </row>
    <row r="14" ht="24.9" customHeight="1" thickTop="1">
      <c r="A14" s="641" t="inlineStr">
        <is>
          <t xml:space="preserve"> (2)CRUCIBLE  NUMBER</t>
        </is>
      </c>
      <c r="B14" s="550" t="n"/>
      <c r="C14" s="97">
        <f>IF(ISBLANK($N$14),"",$N$14)</f>
        <v/>
      </c>
      <c r="D14" s="97">
        <f>IF(ISBLANK($N$15),"",$N$15)</f>
        <v/>
      </c>
      <c r="E14" s="97">
        <f>IF(ISBLANK($N$16),"",$N$16)</f>
        <v/>
      </c>
      <c r="F14" s="97">
        <f>IF(ISBLANK($N$17),"",$N$17)</f>
        <v/>
      </c>
      <c r="G14" s="97">
        <f>IF(ISBLANK($N$18),"",$N$18)</f>
        <v/>
      </c>
      <c r="H14" s="97">
        <f>IF(ISBLANK($N$19),"",$N$19)</f>
        <v/>
      </c>
      <c r="I14" s="97">
        <f>IF(ISBLANK($N$20),"",$N$20)</f>
        <v/>
      </c>
      <c r="J14" s="97">
        <f>IF(ISBLANK($N$22),"",$N$22)</f>
        <v/>
      </c>
      <c r="N14" s="351" t="n"/>
      <c r="O14" s="352" t="n"/>
      <c r="P14" s="353">
        <f>IFERROR(IF(ISBLANK(Table1114[[#This Row],[WEIGHT 1]]),"",VLOOKUP(ROUND(Table1114[[#This Row],[WEIGHT 1]],0),Radwag[],3,Radwag[[#This Row],[Weigh]])),"")</f>
        <v/>
      </c>
      <c r="Q14" s="777">
        <f>IFERROR(Table1114[[#This Row],[WEIGHT 1]]+Table1114[[#This Row],[Correcttion 1]],"")</f>
        <v/>
      </c>
      <c r="R14" s="352" t="n"/>
      <c r="S14" s="353">
        <f>IFERROR(IF(ISBLANK(Table1114[[#This Row],[WEIGHT2]]),"",VLOOKUP(ROUND(Table1114[[#This Row],[WEIGHT2]],0),Radwag[],3,Radwag[[#This Row],[Weigh]])),"")</f>
        <v/>
      </c>
      <c r="T14" s="777">
        <f>IFERROR(Table1114[[#This Row],[WEIGHT2]]+Table1114[[#This Row],[Correcttion2]],"")</f>
        <v/>
      </c>
    </row>
    <row r="15" ht="24.9" customHeight="1">
      <c r="A15" s="653" t="inlineStr">
        <is>
          <t xml:space="preserve"> (3) SAMPLE VOLUME, ml</t>
        </is>
      </c>
      <c r="B15" s="550" t="n"/>
      <c r="C15" s="204" t="n"/>
      <c r="D15" s="204" t="n"/>
      <c r="E15" s="204" t="n"/>
      <c r="F15" s="204" t="n"/>
      <c r="G15" s="204" t="n"/>
      <c r="H15" s="204" t="n"/>
      <c r="I15" s="204" t="n"/>
      <c r="J15" s="204" t="n"/>
      <c r="N15" s="354" t="n"/>
      <c r="O15" s="355" t="n"/>
      <c r="P15" s="356">
        <f>IFERROR(IF(ISBLANK(Table1114[[#This Row],[WEIGHT 1]]),"",VLOOKUP(ROUND(Table1114[[#This Row],[WEIGHT 1]],0),Radwag[],3,Radwag[[#This Row],[Weigh]])),"")</f>
        <v/>
      </c>
      <c r="Q15" s="795">
        <f>IFERROR(Table1114[[#This Row],[WEIGHT 1]]+Table1114[[#This Row],[Correcttion 1]],"")</f>
        <v/>
      </c>
      <c r="R15" s="355" t="n"/>
      <c r="S15" s="356">
        <f>IFERROR(IF(ISBLANK(Table1114[[#This Row],[WEIGHT2]]),"",VLOOKUP(ROUND(Table1114[[#This Row],[WEIGHT2]],0),Radwag[],3,Radwag[[#This Row],[Weigh]])),"")</f>
        <v/>
      </c>
      <c r="T15" s="795">
        <f>IFERROR(Table1114[[#This Row],[WEIGHT2]]+Table1114[[#This Row],[Correcttion2]],"")</f>
        <v/>
      </c>
    </row>
    <row r="16" ht="25.5" customHeight="1">
      <c r="A16" s="641" t="inlineStr">
        <is>
          <t xml:space="preserve"> (4) TARE WT. OF CRUCIBLE  g</t>
        </is>
      </c>
      <c r="B16" s="550" t="n"/>
      <c r="C16" s="809">
        <f>IF($C$14="","",$Q$14)</f>
        <v/>
      </c>
      <c r="D16" s="809">
        <f>IF($D$14="","",$Q$15)</f>
        <v/>
      </c>
      <c r="E16" s="809">
        <f>IF($E$14="","",$Q$16)</f>
        <v/>
      </c>
      <c r="F16" s="809">
        <f>IF($F$14="","",$Q$17)</f>
        <v/>
      </c>
      <c r="G16" s="809">
        <f>IF($G$14="","",$Q$18)</f>
        <v/>
      </c>
      <c r="H16" s="809">
        <f>IF($H$14="","",$Q$19)</f>
        <v/>
      </c>
      <c r="I16" s="809">
        <f>IF($I$14="","",$Q$20)</f>
        <v/>
      </c>
      <c r="J16" s="809">
        <f>IF($J$14="","",$Q$22)</f>
        <v/>
      </c>
      <c r="N16" s="351" t="n"/>
      <c r="O16" s="352" t="n"/>
      <c r="P16" s="353">
        <f>IFERROR(IF(ISBLANK(Table1114[[#This Row],[WEIGHT 1]]),"",VLOOKUP(ROUND(Table1114[[#This Row],[WEIGHT 1]],0),Radwag[],3,Radwag[[#This Row],[Weigh]])),"")</f>
        <v/>
      </c>
      <c r="Q16" s="777">
        <f>IFERROR(Table1114[[#This Row],[WEIGHT 1]]+Table1114[[#This Row],[Correcttion 1]],"")</f>
        <v/>
      </c>
      <c r="R16" s="352" t="n"/>
      <c r="S16" s="353">
        <f>IFERROR(IF(ISBLANK(Table1114[[#This Row],[WEIGHT2]]),"",VLOOKUP(ROUND(Table1114[[#This Row],[WEIGHT2]],0),Radwag[],3,Radwag[[#This Row],[Weigh]])),"")</f>
        <v/>
      </c>
      <c r="T16" s="777">
        <f>IFERROR(Table1114[[#This Row],[WEIGHT2]]+Table1114[[#This Row],[Correcttion2]],"")</f>
        <v/>
      </c>
    </row>
    <row r="17" ht="25.5" customHeight="1">
      <c r="A17" s="648" t="inlineStr">
        <is>
          <t xml:space="preserve"> (5) WT. OF DRY DISH  g</t>
        </is>
      </c>
      <c r="B17" s="550" t="n"/>
      <c r="C17" s="813">
        <f>IF($C$14="","",$T$14)</f>
        <v/>
      </c>
      <c r="D17" s="813">
        <f>IF($D$14="","",$T$15)</f>
        <v/>
      </c>
      <c r="E17" s="813">
        <f>IF($E$14="","",$T$16)</f>
        <v/>
      </c>
      <c r="F17" s="813">
        <f>IF($F$14="","",$T$17)</f>
        <v/>
      </c>
      <c r="G17" s="813">
        <f>IF($G$14="","",$T$18)</f>
        <v/>
      </c>
      <c r="H17" s="813">
        <f>IF($H$14="","",$T$19)</f>
        <v/>
      </c>
      <c r="I17" s="813">
        <f>IF($I$14="","",$T$20)</f>
        <v/>
      </c>
      <c r="J17" s="813">
        <f>IF($J$14="","",$T$22)</f>
        <v/>
      </c>
      <c r="N17" s="359" t="n"/>
      <c r="O17" s="360" t="n"/>
      <c r="P17" s="361">
        <f>IFERROR(IF(ISBLANK(Table1114[[#This Row],[WEIGHT 1]]),"",VLOOKUP(ROUND(Table1114[[#This Row],[WEIGHT 1]],0),Radwag[],3,Radwag[[#This Row],[Weigh]])),"")</f>
        <v/>
      </c>
      <c r="Q17" s="797">
        <f>IFERROR(Table1114[[#This Row],[WEIGHT 1]]+Table1114[[#This Row],[Correcttion 1]],"")</f>
        <v/>
      </c>
      <c r="R17" s="360" t="n"/>
      <c r="S17" s="361">
        <f>IFERROR(IF(ISBLANK(Table1114[[#This Row],[WEIGHT2]]),"",VLOOKUP(ROUND(Table1114[[#This Row],[WEIGHT2]],0),Radwag[],3,Radwag[[#This Row],[Weigh]])),"")</f>
        <v/>
      </c>
      <c r="T17" s="797">
        <f>IFERROR(Table1114[[#This Row],[WEIGHT2]]+Table1114[[#This Row],[Correcttion2]],"")</f>
        <v/>
      </c>
    </row>
    <row r="18" ht="25.5" customHeight="1">
      <c r="A18" s="721" t="inlineStr">
        <is>
          <t xml:space="preserve"> (6) WT. OF DRY SOLIDS, g = (5) - ( 4)</t>
        </is>
      </c>
      <c r="B18" s="550" t="n"/>
      <c r="C18" s="205">
        <f>IFERROR(IF(C14="","",C17-C16),"")</f>
        <v/>
      </c>
      <c r="D18" s="205">
        <f>IFERROR(IF(D14="","",D17-D16),"")</f>
        <v/>
      </c>
      <c r="E18" s="205">
        <f>IFERROR(IF(E14="","",E17-E16),"")</f>
        <v/>
      </c>
      <c r="F18" s="205">
        <f>IFERROR(IF(F14="","",F17-F16),"")</f>
        <v/>
      </c>
      <c r="G18" s="205">
        <f>IFERROR(IF(G14="","",G17-G16),"")</f>
        <v/>
      </c>
      <c r="H18" s="205">
        <f>IFERROR(IF(H14="","",H17-H16),"")</f>
        <v/>
      </c>
      <c r="I18" s="205">
        <f>IFERROR(IF(I14="","",I17-I16),"")</f>
        <v/>
      </c>
      <c r="J18" s="205">
        <f>IFERROR(IF(J14="","",J17-J16),"")</f>
        <v/>
      </c>
      <c r="N18" s="367" t="n"/>
      <c r="O18" s="316" t="n"/>
      <c r="P18" s="368">
        <f>IFERROR(IF(ISBLANK(Table1114[[#This Row],[WEIGHT 1]]),"",VLOOKUP(ROUND(Table1114[[#This Row],[WEIGHT 1]],0),Radwag[],3,Radwag[[#This Row],[Weigh]])),"")</f>
        <v/>
      </c>
      <c r="Q18" s="776">
        <f>IFERROR(Table1114[[#This Row],[WEIGHT 1]]+Table1114[[#This Row],[Correcttion 1]],"")</f>
        <v/>
      </c>
      <c r="R18" s="316" t="n"/>
      <c r="S18" s="368">
        <f>IFERROR(IF(ISBLANK(Table1114[[#This Row],[WEIGHT2]]),"",VLOOKUP(ROUND(Table1114[[#This Row],[WEIGHT2]],0),Radwag[],3,Radwag[[#This Row],[Weigh]])),"")</f>
        <v/>
      </c>
      <c r="T18" s="776">
        <f>IFERROR(Table1114[[#This Row],[WEIGHT2]]+Table1114[[#This Row],[Correcttion2]],"")</f>
        <v/>
      </c>
    </row>
    <row r="19" ht="25.5" customHeight="1" thickBot="1">
      <c r="A19" s="722" t="inlineStr">
        <is>
          <t xml:space="preserve"> (7) TDS = mg/l (6) X 1,000,000 / (3)</t>
        </is>
      </c>
      <c r="B19" s="537" t="n"/>
      <c r="C19" s="814">
        <f>IFERROR(IF(AND(C14="",D14&gt;1),"",IF(C17="","",C18*1000000/C15)),"")</f>
        <v/>
      </c>
      <c r="D19" s="814">
        <f>IFERROR(IF(AND(D14="",E14&gt;1),"",IF(D17="","",D18*1000000/D15)),"")</f>
        <v/>
      </c>
      <c r="E19" s="814">
        <f>IFERROR(IF(AND(E14="",F14&gt;1),"",IF(E17="","",E18*1000000/E15)),"")</f>
        <v/>
      </c>
      <c r="F19" s="814">
        <f>IFERROR(IF(AND(F14="",G14&gt;1),"",IF(F17="","",F18*1000000/F15)),"")</f>
        <v/>
      </c>
      <c r="G19" s="814">
        <f>IFERROR(IF(AND(G14="",H14&gt;1),"",IF(G17="","",G18*1000000/G15)),"")</f>
        <v/>
      </c>
      <c r="H19" s="814">
        <f>IFERROR(IF(AND(H14="",I14&gt;1),"",IF(H17="","",H18*1000000/H15)),"")</f>
        <v/>
      </c>
      <c r="I19" s="814">
        <f>IFERROR(IF(AND(I14="",J14&gt;1),"",IF(I17="","",I18*1000000/I15)),"")</f>
        <v/>
      </c>
      <c r="J19" s="814">
        <f>IFERROR(IF(AND(J14="",M14&gt;1),"",IF(J17="","",J18*1000000/J15)),"")</f>
        <v/>
      </c>
      <c r="N19" s="367" t="n"/>
      <c r="O19" s="316" t="n"/>
      <c r="P19" s="368">
        <f>IFERROR(IF(ISBLANK(Table1114[[#This Row],[WEIGHT 1]]),"",VLOOKUP(ROUND(Table1114[[#This Row],[WEIGHT 1]],0),Radwag[],3,Radwag[[#This Row],[Weigh]])),"")</f>
        <v/>
      </c>
      <c r="Q19" s="776">
        <f>IFERROR(Table1114[[#This Row],[WEIGHT 1]]+Table1114[[#This Row],[Correcttion 1]],"")</f>
        <v/>
      </c>
      <c r="R19" s="316" t="n"/>
      <c r="S19" s="368">
        <f>IFERROR(IF(ISBLANK(Table1114[[#This Row],[WEIGHT2]]),"",VLOOKUP(ROUND(Table1114[[#This Row],[WEIGHT2]],0),Radwag[],3,Radwag[[#This Row],[Weigh]])),"")</f>
        <v/>
      </c>
      <c r="T19" s="776">
        <f>IFERROR(Table1114[[#This Row],[WEIGHT2]]+Table1114[[#This Row],[Correcttion2]],"")</f>
        <v/>
      </c>
    </row>
    <row r="20">
      <c r="I20" s="731" t="n"/>
      <c r="J20" s="539" t="n"/>
      <c r="N20" s="367" t="n"/>
      <c r="O20" s="316" t="n"/>
      <c r="P20" s="368">
        <f>IFERROR(IF(ISBLANK(Table1114[[#This Row],[WEIGHT 1]]),"",VLOOKUP(ROUND(Table1114[[#This Row],[WEIGHT 1]],0),Radwag[],3,Radwag[[#This Row],[Weigh]])),"")</f>
        <v/>
      </c>
      <c r="Q20" s="369">
        <f>IFERROR(Table1114[[#This Row],[WEIGHT 1]]+Table1114[[#This Row],[Correcttion 1]],"")</f>
        <v/>
      </c>
      <c r="R20" s="316" t="n"/>
      <c r="S20" s="368">
        <f>IFERROR(IF(ISBLANK(Table1114[[#This Row],[WEIGHT2]]),"",VLOOKUP(ROUND(Table1114[[#This Row],[WEIGHT2]],0),Radwag[],3,Radwag[[#This Row],[Weigh]])),"")</f>
        <v/>
      </c>
      <c r="T20" s="776">
        <f>IFERROR(Table1114[[#This Row],[WEIGHT2]]+Table1114[[#This Row],[Correcttion2]],"")</f>
        <v/>
      </c>
    </row>
    <row r="21">
      <c r="N21" s="367" t="n"/>
      <c r="O21" s="316" t="n"/>
      <c r="P21" s="368">
        <f>IFERROR(IF(ISBLANK(Table1114[[#This Row],[WEIGHT 1]]),"",VLOOKUP(ROUND(Table1114[[#This Row],[WEIGHT 1]],0),Radwag[],3,Radwag[[#This Row],[Weigh]])),"")</f>
        <v/>
      </c>
      <c r="Q21" s="369">
        <f>IFERROR(Table1114[[#This Row],[WEIGHT 1]]+Table1114[[#This Row],[Correcttion 1]],"")</f>
        <v/>
      </c>
      <c r="R21" s="367" t="n"/>
      <c r="S21" s="369">
        <f>IFERROR(IF(ISBLANK(Table1114[[#This Row],[WEIGHT2]]),"",VLOOKUP(ROUND(Table1114[[#This Row],[WEIGHT2]],0),Radwag[],3,Radwag[[#This Row],[Weigh]])),"")</f>
        <v/>
      </c>
      <c r="T21" s="776">
        <f>IFERROR(Table1114[[#This Row],[WEIGHT2]]+Table1114[[#This Row],[Correcttion2]],"")</f>
        <v/>
      </c>
    </row>
    <row r="22">
      <c r="G22" s="216" t="n"/>
      <c r="H22" s="217" t="inlineStr">
        <is>
          <t>Influent</t>
        </is>
      </c>
      <c r="I22" s="217" t="inlineStr">
        <is>
          <t>Effluent</t>
        </is>
      </c>
    </row>
    <row r="23">
      <c r="G23" s="217" t="inlineStr">
        <is>
          <t>O&amp;G</t>
        </is>
      </c>
      <c r="H23" s="761">
        <f>IFERROR(C19,"")</f>
        <v/>
      </c>
      <c r="I23" s="97">
        <f>IFERROR(D19,"")</f>
        <v/>
      </c>
    </row>
    <row r="25">
      <c r="I25" s="737" t="inlineStr">
        <is>
          <t>رجوع</t>
        </is>
      </c>
      <c r="J25" s="534" t="n"/>
    </row>
    <row r="26">
      <c r="I26" s="534" t="n"/>
      <c r="J26" s="534" t="n"/>
    </row>
    <row r="27">
      <c r="I27" s="534" t="n"/>
      <c r="J27" s="534" t="n"/>
    </row>
    <row r="28">
      <c r="I28" s="534" t="n"/>
      <c r="J28" s="53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HLf0BCQ/eqMrLfMMvn6/5A==" formatRows="1" sort="1" spinCount="100000" hashValue="Pr16X69dRvx+l+3lcCKrTXHL4f8UvUZHNjLvPH7XPViyh1YSmqT7CI3Ge6fmnswBg33aNS6b2V+MHWG4GwDBUw=="/>
  <mergeCells count="18">
    <mergeCell ref="A10:C10"/>
    <mergeCell ref="I12:J12"/>
    <mergeCell ref="A16:B16"/>
    <mergeCell ref="A11:C11"/>
    <mergeCell ref="I20:J20"/>
    <mergeCell ref="A15:B15"/>
    <mergeCell ref="I10:J10"/>
    <mergeCell ref="A19:B19"/>
    <mergeCell ref="A12:C12"/>
    <mergeCell ref="I11:J11"/>
    <mergeCell ref="A13:B13"/>
    <mergeCell ref="A14:B14"/>
    <mergeCell ref="I25:J28"/>
    <mergeCell ref="D11:G11"/>
    <mergeCell ref="A17:B17"/>
    <mergeCell ref="D10:G10"/>
    <mergeCell ref="K13:L13"/>
    <mergeCell ref="A18:B18"/>
  </mergeCells>
  <hyperlinks>
    <hyperlink ref="I25" location="Main!A1" display="رجوع"/>
  </hyperlinks>
  <pageMargins left="0.748030402449694" right="0.748030402449694" top="0.984251968503937" bottom="0.984251968503937" header="0.511809930008749" footer="0.511809930008749"/>
  <pageSetup orientation="landscape" paperSize="9" scale="77"/>
  <colBreaks count="1" manualBreakCount="1">
    <brk id="10" min="0" max="1048575" man="1"/>
  </colBreaks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codeName="Sheet15">
    <outlinePr summaryBelow="1" summaryRight="1"/>
    <pageSetUpPr fitToPage="1"/>
  </sheetPr>
  <dimension ref="A1:P33"/>
  <sheetViews>
    <sheetView topLeftCell="A22" zoomScaleNormal="100" workbookViewId="0">
      <selection activeCell="D34" sqref="D34"/>
    </sheetView>
  </sheetViews>
  <sheetFormatPr baseColWidth="8" defaultColWidth="8.88671875" defaultRowHeight="13.2"/>
  <cols>
    <col width="79" bestFit="1" customWidth="1" style="582" min="1" max="1"/>
    <col width="8.88671875" customWidth="1" style="582" min="2" max="9"/>
    <col width="11.5546875" bestFit="1" customWidth="1" style="582" min="10" max="10"/>
    <col width="8.88671875" customWidth="1" style="582" min="11" max="12"/>
    <col width="8.88671875" customWidth="1" style="582" min="13" max="16384"/>
  </cols>
  <sheetData>
    <row r="1" ht="24.9" customHeight="1">
      <c r="A1" s="534" t="n"/>
      <c r="B1" s="534" t="n"/>
      <c r="C1" s="534" t="n"/>
      <c r="D1" s="534" t="n"/>
      <c r="E1" s="534" t="n"/>
      <c r="F1" s="534" t="n"/>
      <c r="G1" s="534" t="n"/>
      <c r="H1" s="534" t="n"/>
      <c r="I1" s="534" t="n"/>
      <c r="J1" s="534" t="n"/>
      <c r="K1" s="534" t="n"/>
      <c r="L1" s="534" t="n"/>
      <c r="M1" s="534" t="n"/>
      <c r="N1" s="534" t="n"/>
      <c r="O1" s="534" t="n"/>
      <c r="P1" s="116" t="inlineStr">
        <is>
          <t>الشركة القابضة لمياة الشرب و الصرف الصحى</t>
        </is>
      </c>
    </row>
    <row r="2" ht="24.9" customHeight="1">
      <c r="A2" s="534" t="n"/>
      <c r="B2" s="534" t="n"/>
      <c r="C2" s="534" t="n"/>
      <c r="D2" s="534" t="n"/>
      <c r="E2" s="534" t="n"/>
      <c r="F2" s="534" t="n"/>
      <c r="G2" s="534" t="n"/>
      <c r="H2" s="534" t="n"/>
      <c r="I2" s="534" t="n"/>
      <c r="J2" s="534" t="n"/>
      <c r="K2" s="534" t="n"/>
      <c r="L2" s="534" t="n"/>
      <c r="M2" s="534" t="n"/>
      <c r="N2" s="534" t="n"/>
      <c r="O2" s="534" t="n"/>
      <c r="P2" s="116" t="inlineStr">
        <is>
          <t>قطاع المعامل</t>
        </is>
      </c>
    </row>
    <row r="3" ht="24.9" customHeight="1">
      <c r="A3" s="534" t="n"/>
      <c r="B3" s="534" t="n"/>
      <c r="C3" s="534" t="n"/>
      <c r="D3" s="534" t="n"/>
      <c r="E3" s="534" t="n"/>
      <c r="F3" s="534" t="n"/>
      <c r="G3" s="534" t="n"/>
      <c r="H3" s="534" t="n"/>
      <c r="I3" s="534" t="n"/>
      <c r="J3" s="534" t="n"/>
      <c r="K3" s="534" t="n"/>
      <c r="L3" s="534" t="n"/>
      <c r="M3" s="534" t="n"/>
      <c r="N3" s="534" t="n"/>
      <c r="O3" s="534" t="n"/>
      <c r="P3" s="116" t="inlineStr">
        <is>
          <t>الأدارة العامة لمعامل الصرف الصحى</t>
        </is>
      </c>
    </row>
    <row r="4" ht="24.9" customHeight="1" thickBot="1">
      <c r="A4" s="534" t="n"/>
      <c r="B4" s="534" t="n"/>
      <c r="C4" s="534" t="n"/>
      <c r="D4" s="534" t="n"/>
      <c r="E4" s="534" t="n"/>
      <c r="F4" s="534" t="n"/>
      <c r="G4" s="534" t="n"/>
      <c r="H4" s="117" t="n"/>
      <c r="I4" s="534" t="n"/>
      <c r="J4" s="534" t="n"/>
      <c r="K4" s="534" t="n"/>
      <c r="L4" s="534" t="n"/>
      <c r="M4" s="534" t="n"/>
      <c r="N4" s="534" t="n"/>
      <c r="O4" s="534" t="n"/>
      <c r="P4" s="534" t="n"/>
    </row>
    <row r="5" ht="24.9" customHeight="1" thickBot="1">
      <c r="A5" s="745">
        <f>COD!A5</f>
        <v/>
      </c>
      <c r="B5" s="746" t="n"/>
      <c r="C5" s="746" t="n"/>
      <c r="D5" s="746" t="n"/>
      <c r="E5" s="746" t="n"/>
      <c r="F5" s="746" t="n"/>
      <c r="G5" s="746" t="n"/>
      <c r="H5" s="746" t="n"/>
      <c r="I5" s="746" t="n"/>
      <c r="J5" s="746" t="n"/>
      <c r="K5" s="746" t="n"/>
      <c r="L5" s="746" t="n"/>
      <c r="M5" s="746" t="n"/>
      <c r="N5" s="746" t="n"/>
      <c r="O5" s="746" t="n"/>
      <c r="P5" s="747" t="n"/>
    </row>
    <row r="6" ht="24.9" customHeight="1">
      <c r="A6" s="120" t="inlineStr">
        <is>
          <t>BOD5 WORK SHEET</t>
        </is>
      </c>
      <c r="B6" s="121" t="n"/>
      <c r="C6" s="121" t="n"/>
      <c r="D6" s="121" t="n"/>
      <c r="E6" s="121" t="n"/>
      <c r="F6" s="122" t="n"/>
      <c r="G6" s="121" t="n"/>
      <c r="H6" s="550" t="inlineStr">
        <is>
          <t xml:space="preserve"> SAMPLE DATE:    </t>
        </is>
      </c>
      <c r="I6" s="550" t="n"/>
      <c r="J6" s="682">
        <f>IF(ISBLANK('BOD5'!$J$6:$K$6),"",'BOD5'!$J$6:$K$6)</f>
        <v/>
      </c>
      <c r="K6" s="605" t="n"/>
      <c r="L6" s="550" t="inlineStr">
        <is>
          <t xml:space="preserve"> ANALYSIS DATE:    </t>
        </is>
      </c>
      <c r="M6" s="550" t="n"/>
      <c r="N6" s="695">
        <f>IFERROR(J6+K7,"")</f>
        <v/>
      </c>
      <c r="O6" s="617" t="n"/>
      <c r="P6" s="618" t="n"/>
    </row>
    <row r="7" ht="24.9" customHeight="1">
      <c r="A7" s="124" t="inlineStr">
        <is>
          <t xml:space="preserve">  18th EDITION, of The Standard Method for the Examination of Water and Wastewater</t>
        </is>
      </c>
      <c r="B7" s="534" t="n"/>
      <c r="C7" s="534" t="n"/>
      <c r="D7" s="534" t="n"/>
      <c r="E7" s="534" t="n"/>
      <c r="F7" s="125" t="n"/>
      <c r="G7" s="534" t="n"/>
      <c r="H7" s="328" t="inlineStr">
        <is>
          <t xml:space="preserve"> TIME:         </t>
        </is>
      </c>
      <c r="I7" s="542" t="n"/>
      <c r="J7" s="815">
        <f>IF(ISBLANK('BOD5'!$J$7),"",'BOD5'!$J$7)</f>
        <v/>
      </c>
      <c r="K7" s="598">
        <f>'BOD5'!$K$7</f>
        <v/>
      </c>
      <c r="L7" s="542" t="inlineStr">
        <is>
          <t xml:space="preserve"> 0 DAY DO DATE:             </t>
        </is>
      </c>
      <c r="M7" s="542" t="n"/>
      <c r="N7" s="689">
        <f>N6</f>
        <v/>
      </c>
      <c r="O7" s="623" t="n"/>
      <c r="P7" s="624" t="n"/>
    </row>
    <row r="8" ht="24.9" customHeight="1">
      <c r="A8" s="126" t="inlineStr">
        <is>
          <t xml:space="preserve"> PROCEDURE NUMBER  5210 B</t>
        </is>
      </c>
      <c r="B8" s="542" t="n"/>
      <c r="C8" s="542" t="n"/>
      <c r="D8" s="542" t="n"/>
      <c r="E8" s="542" t="n"/>
      <c r="F8" s="127" t="n"/>
      <c r="G8" s="542" t="n"/>
      <c r="H8" s="328" t="inlineStr">
        <is>
          <t xml:space="preserve"> TIME:         </t>
        </is>
      </c>
      <c r="I8" s="542" t="n"/>
      <c r="J8" s="815">
        <f>IF(ISBLANK('BOD5'!$J$8),"",'BOD5'!$J$8)</f>
        <v/>
      </c>
      <c r="K8" s="598" t="n"/>
      <c r="L8" s="542" t="inlineStr">
        <is>
          <t xml:space="preserve"> 5 DAY DO DATE:          </t>
        </is>
      </c>
      <c r="M8" s="542" t="n"/>
      <c r="N8" s="689">
        <f>IFERROR(N7+5,"")</f>
        <v/>
      </c>
      <c r="O8" s="623" t="n"/>
      <c r="P8" s="624" t="n"/>
    </row>
    <row r="9" ht="24.9" customHeight="1">
      <c r="A9" s="345">
        <f>IFERROR('BOD5'!A9,"")</f>
        <v/>
      </c>
      <c r="B9" s="816">
        <f>IFERROR(IF(ISBLANK('BOD5'!B9),"",'BOD5'!B9),"")</f>
        <v/>
      </c>
      <c r="C9" s="534" t="n"/>
      <c r="D9" s="128" t="inlineStr">
        <is>
          <t>V</t>
        </is>
      </c>
      <c r="E9" s="19" t="n"/>
      <c r="F9" s="125" t="n"/>
      <c r="G9" s="534" t="n"/>
      <c r="H9" s="534" t="inlineStr">
        <is>
          <t xml:space="preserve"> ANALYST:</t>
        </is>
      </c>
      <c r="I9" s="534" t="n"/>
      <c r="J9" s="743" t="inlineStr">
        <is>
          <t xml:space="preserve"> Mohamad S. Alawamy</t>
        </is>
      </c>
      <c r="K9" s="539" t="n"/>
      <c r="L9" s="539" t="n"/>
      <c r="M9" s="534" t="n"/>
      <c r="N9" s="539" t="n"/>
      <c r="O9" s="539" t="n"/>
      <c r="P9" s="640" t="n"/>
    </row>
    <row r="10" ht="24.9" customHeight="1" thickBot="1">
      <c r="A10" s="345">
        <f>IFERROR('BOD5'!A10,"")</f>
        <v/>
      </c>
      <c r="B10" s="817">
        <f>IFERROR(IF(ISBLANK('BOD5'!B10),"",'BOD5'!B10),"")</f>
        <v/>
      </c>
      <c r="C10" s="661" t="n"/>
      <c r="D10" s="278">
        <f>'BOD5'!D10</f>
        <v/>
      </c>
      <c r="E10" s="661" t="n"/>
      <c r="F10" s="130" t="n"/>
      <c r="G10" s="661" t="n"/>
      <c r="H10" s="686" t="inlineStr">
        <is>
          <t>W    seeding</t>
        </is>
      </c>
      <c r="I10" s="661" t="n"/>
      <c r="J10" s="661" t="n"/>
      <c r="K10" s="661" t="n"/>
      <c r="L10" s="661" t="n"/>
      <c r="M10" s="661" t="n"/>
      <c r="N10" s="661" t="n"/>
      <c r="O10" s="661" t="n"/>
      <c r="P10" s="130" t="n"/>
    </row>
    <row r="11" ht="24.9" customHeight="1">
      <c r="A11" s="329" t="inlineStr">
        <is>
          <t xml:space="preserve"> (1) SAMPLE TYPE</t>
        </is>
      </c>
      <c r="B11" s="739" t="inlineStr">
        <is>
          <t>BLANK</t>
        </is>
      </c>
      <c r="C11" s="647" t="n"/>
      <c r="D11" s="744" t="inlineStr">
        <is>
          <t>Seeding</t>
        </is>
      </c>
      <c r="E11" s="542" t="n"/>
      <c r="F11" s="542" t="n"/>
      <c r="G11" s="542" t="n"/>
      <c r="H11" s="542" t="n"/>
      <c r="I11" s="543" t="n"/>
      <c r="J11" s="742" t="inlineStr">
        <is>
          <t>Kafr Mahfooz</t>
        </is>
      </c>
      <c r="K11" s="650" t="n"/>
      <c r="L11" s="650" t="n"/>
      <c r="M11" s="647" t="n"/>
      <c r="N11" s="748" t="inlineStr">
        <is>
          <t>Effluent spike</t>
        </is>
      </c>
      <c r="O11" s="647" t="n"/>
      <c r="P11" s="132" t="inlineStr">
        <is>
          <t>Seeding</t>
        </is>
      </c>
    </row>
    <row r="12" ht="24.9" customHeight="1">
      <c r="A12" s="135" t="inlineStr">
        <is>
          <t xml:space="preserve"> (2) BOTTLE NUMBER</t>
        </is>
      </c>
      <c r="B12" s="256">
        <f>IFERROR(IF('BOD5'!B12="","",'BOD5'!B12),"")</f>
        <v/>
      </c>
      <c r="C12" s="256">
        <f>IFERROR(IF('BOD5'!C12="","",'BOD5'!C12),"")</f>
        <v/>
      </c>
      <c r="D12" s="136" t="n"/>
      <c r="E12" s="137" t="n"/>
      <c r="F12" s="137" t="n"/>
      <c r="G12" s="136" t="n"/>
      <c r="H12" s="137" t="n"/>
      <c r="I12" s="136" t="n"/>
      <c r="J12" s="137" t="n"/>
      <c r="K12" s="137" t="n"/>
      <c r="L12" s="137" t="n"/>
      <c r="M12" s="137" t="n"/>
      <c r="N12" s="137" t="n"/>
      <c r="O12" s="136" t="n"/>
      <c r="P12" s="249" t="n"/>
    </row>
    <row r="13" ht="24.9" customHeight="1">
      <c r="A13" s="140" t="inlineStr">
        <is>
          <t xml:space="preserve"> (3) SAMPLE VOLUME, ml</t>
        </is>
      </c>
      <c r="B13" s="683" t="n"/>
      <c r="C13" s="540" t="n"/>
      <c r="D13" s="141" t="n"/>
      <c r="E13" s="141" t="n"/>
      <c r="F13" s="141" t="n"/>
      <c r="G13" s="141" t="n"/>
      <c r="H13" s="141" t="n"/>
      <c r="I13" s="141" t="n"/>
      <c r="J13" s="141" t="n"/>
      <c r="K13" s="141" t="n"/>
      <c r="L13" s="141" t="n"/>
      <c r="M13" s="141" t="n"/>
      <c r="N13" s="141" t="n"/>
      <c r="O13" s="88" t="n"/>
      <c r="P13" s="250" t="n"/>
    </row>
    <row r="14" ht="24.9" customHeight="1">
      <c r="A14" s="135" t="inlineStr">
        <is>
          <t xml:space="preserve"> (4) DILUTION FACTOR = 300 / (3)</t>
        </is>
      </c>
      <c r="B14" s="541" t="n"/>
      <c r="C14" s="543" t="n"/>
      <c r="D14" s="148">
        <f>IFERROR($D$10/D13,"")</f>
        <v/>
      </c>
      <c r="E14" s="148">
        <f>IFERROR($D$10/E13,"")</f>
        <v/>
      </c>
      <c r="F14" s="148">
        <f>IFERROR($D$10/F13,"")</f>
        <v/>
      </c>
      <c r="G14" s="148">
        <f>IFERROR($D$10/G13,"")</f>
        <v/>
      </c>
      <c r="H14" s="148">
        <f>IFERROR($D$10/H13,"")</f>
        <v/>
      </c>
      <c r="I14" s="148">
        <f>IFERROR($D$10/I13,"")</f>
        <v/>
      </c>
      <c r="J14" s="148">
        <f>IFERROR($D$10/J13,"")</f>
        <v/>
      </c>
      <c r="K14" s="148">
        <f>IFERROR($D$10/K13,"")</f>
        <v/>
      </c>
      <c r="L14" s="143">
        <f>IFERROR($D$10/L13,"")</f>
        <v/>
      </c>
      <c r="M14" s="143">
        <f>IFERROR($D$10/M13,"")</f>
        <v/>
      </c>
      <c r="N14" s="143">
        <f>IFERROR($D$10/N13,"")</f>
        <v/>
      </c>
      <c r="O14" s="143">
        <f>IFERROR($D$10/O13,"")</f>
        <v/>
      </c>
      <c r="P14" s="818">
        <f>IFERROR(IF($D$21="",($E$22*$K$23/$P$18),($D$21*$K$23/$P$18)),"")</f>
        <v/>
      </c>
    </row>
    <row r="15" ht="24.9" customHeight="1">
      <c r="A15" s="131" t="inlineStr">
        <is>
          <t xml:space="preserve"> (5) INITIAL DO, mg/l</t>
        </is>
      </c>
      <c r="B15" s="146">
        <f>IFERROR(IF('BOD5'!B15="","",'BOD5'!B15),"")</f>
        <v/>
      </c>
      <c r="C15" s="146">
        <f>IFERROR(IF('BOD5'!C15="","",'BOD5'!C15),"")</f>
        <v/>
      </c>
      <c r="D15" s="141" t="n"/>
      <c r="E15" s="141" t="n"/>
      <c r="F15" s="88" t="n"/>
      <c r="G15" s="141" t="n"/>
      <c r="H15" s="88" t="n"/>
      <c r="I15" s="141" t="n"/>
      <c r="J15" s="141" t="n"/>
      <c r="K15" s="141" t="n"/>
      <c r="L15" s="141" t="n"/>
      <c r="M15" s="141" t="n"/>
      <c r="N15" s="141" t="n"/>
      <c r="O15" s="88" t="n"/>
      <c r="P15" s="819">
        <f>IFERROR(IF($D$21="",($E$22*$L$23/$P$18),($D$21*$L$23/$P$18)),"")</f>
        <v/>
      </c>
    </row>
    <row r="16" ht="24.9" customHeight="1">
      <c r="A16" s="135" t="inlineStr">
        <is>
          <t xml:space="preserve"> (6) 5- DAY DO, mg/l *</t>
        </is>
      </c>
      <c r="B16" s="146">
        <f>IFERROR(IF('BOD5'!B16="","",'BOD5'!B16),"")</f>
        <v/>
      </c>
      <c r="C16" s="146">
        <f>IFERROR(IF('BOD5'!C16="","",'BOD5'!C16),"")</f>
        <v/>
      </c>
      <c r="D16" s="137" t="n"/>
      <c r="E16" s="137" t="n"/>
      <c r="F16" s="137" t="n"/>
      <c r="G16" s="137" t="n"/>
      <c r="H16" s="137" t="n"/>
      <c r="I16" s="137" t="n"/>
      <c r="J16" s="137" t="n"/>
      <c r="K16" s="137" t="n"/>
      <c r="L16" s="137" t="n"/>
      <c r="M16" s="137" t="n"/>
      <c r="N16" s="137" t="n"/>
      <c r="O16" s="144" t="n"/>
      <c r="P16" s="138" t="inlineStr">
        <is>
          <t>V</t>
        </is>
      </c>
    </row>
    <row r="17" ht="24.9" customHeight="1">
      <c r="A17" s="131" t="inlineStr">
        <is>
          <t xml:space="preserve"> (7) DO DEPLETION, mg/l = (5) - (6) **</t>
        </is>
      </c>
      <c r="B17" s="146">
        <f>IFERROR(IF('BOD5'!B17="","",'BOD5'!B17),"")</f>
        <v/>
      </c>
      <c r="C17" s="146">
        <f>IFERROR(IF('BOD5'!C17="","",'BOD5'!C17),"")</f>
        <v/>
      </c>
      <c r="D17" s="146">
        <f>IFERROR(IF(D16&gt;=1,D15-D16,""),"")</f>
        <v/>
      </c>
      <c r="E17" s="146">
        <f>IFERROR(IF(E16&gt;=1,E15-E16,""),"")</f>
        <v/>
      </c>
      <c r="F17" s="146">
        <f>IFERROR(IF(F16&gt;=1,F15-F16,""),"")</f>
        <v/>
      </c>
      <c r="G17" s="146">
        <f>IFERROR(IF(G16&gt;=1,G15-G16,""),"")</f>
        <v/>
      </c>
      <c r="H17" s="146">
        <f>IFERROR(IF(H16&gt;=1,H15-H16,""),"")</f>
        <v/>
      </c>
      <c r="I17" s="146">
        <f>IFERROR(IF(I16&gt;=1,I15-I16,""),"")</f>
        <v/>
      </c>
      <c r="J17" s="146">
        <f>IFERROR(IF(J16&gt;=1,J15-J16,""),"")</f>
        <v/>
      </c>
      <c r="K17" s="146">
        <f>IFERROR(IF(K16&gt;=1,K15-K16,""),"")</f>
        <v/>
      </c>
      <c r="L17" s="146">
        <f>IFERROR(IF(L16&gt;=1,L15-L16,""),"")</f>
        <v/>
      </c>
      <c r="M17" s="146">
        <f>IFERROR(IF(M16&gt;=1,M15-M16,""),"")</f>
        <v/>
      </c>
      <c r="N17" s="146">
        <f>IFERROR(IF(N16&gt;=1,N15-N16,""),"")</f>
        <v/>
      </c>
      <c r="O17" s="146">
        <f>IFERROR(IF(O16&gt;=1,O15-O16,""),"")</f>
        <v/>
      </c>
      <c r="P17" s="141" t="n">
        <v>2</v>
      </c>
    </row>
    <row r="18" ht="24.9" customHeight="1">
      <c r="A18" s="147" t="inlineStr">
        <is>
          <t xml:space="preserve"> (8) BLANK DEPLETION CORRECTION, mg/l      = (11) of Blank, mg/l X DW, ml / 300  </t>
        </is>
      </c>
      <c r="B18" s="420" t="n"/>
      <c r="C18" s="421" t="n"/>
      <c r="D18" s="148">
        <f>IFERROR(IF(D13&gt;0,IF(OR($B$17&gt;0.2,$C$17&gt;0.2),AVERAGE($B$17:$C$17)*($D$10-D13)/$D$10,"0"),""),"")</f>
        <v/>
      </c>
      <c r="E18" s="148">
        <f>IFERROR(IF(E13&gt;0,IF(OR($B$17&gt;0.2,$C$17&gt;0.2),AVERAGE($B$17:$C$17)*($D$10-E13)/$D$10,"0"),""),"")</f>
        <v/>
      </c>
      <c r="F18" s="148">
        <f>IFERROR(IF(F13&gt;0,IF(OR($B$17&gt;0.2,$C$17&gt;0.2),AVERAGE($B$17:$C$17)*($D$10-F13)/$D$10,"0"),""),"")</f>
        <v/>
      </c>
      <c r="G18" s="148">
        <f>IFERROR(IF(G13&gt;0,IF(OR($B$17&gt;0.2,$C$17&gt;0.2),AVERAGE($B$17:$C$17)*($D$10-G13)/$D$10,"0"),""),"")</f>
        <v/>
      </c>
      <c r="H18" s="148">
        <f>IFERROR(IF(H13&gt;0,IF(OR($B$17&gt;0.2,$C$17&gt;0.2),AVERAGE($B$17:$C$17)*($D$10-H13)/$D$10,"0"),""),"")</f>
        <v/>
      </c>
      <c r="I18" s="148">
        <f>IFERROR(IF(I13&gt;0,IF(OR($B$17&gt;0.2,$C$17&gt;0.2),AVERAGE($B$17:$C$17)*($D$10-I13)/$D$10,"0"),""),"")</f>
        <v/>
      </c>
      <c r="J18" s="148">
        <f>IFERROR(IF(J13&gt;0,IF(OR($B$17&gt;0.2,$C$17&gt;0.2),AVERAGE($B$17:$C$17)*($D$10-J13)/$D$10,"0"),""),"")</f>
        <v/>
      </c>
      <c r="K18" s="148">
        <f>IFERROR(IF(K13&gt;0,IF(OR($B$17&gt;0.2,$C$17&gt;0.2),AVERAGE($B$17:$C$17)*($D$10-K13)/$D$10,"0"),""),"")</f>
        <v/>
      </c>
      <c r="L18" s="148">
        <f>IFERROR(IF(L13&gt;0,IF(OR($B$17&gt;0.2,$C$17&gt;0.2),AVERAGE($B$17:$C$17)*($D$10-L13)/$D$10,"0"),""),"")</f>
        <v/>
      </c>
      <c r="M18" s="148">
        <f>IFERROR(IF(M13&gt;0,IF(OR($B$17&gt;0.2,$C$17&gt;0.2),AVERAGE($B$17:$C$17)*($D$10-M13)/$D$10,"0"),""),"")</f>
        <v/>
      </c>
      <c r="N18" s="148">
        <f>IFERROR(IF(N13&gt;0,IF(OR($B$17&gt;0.2,$C$17&gt;0.2),AVERAGE($B$17:$C$17)*($D$10-N13)/$D$10,"0"),""),"")</f>
        <v/>
      </c>
      <c r="O18" s="148">
        <f>IFERROR(IF(O13&gt;0,IF(OR($B$17&gt;0.2,$C$17&gt;0.2),AVERAGE($B$17:$C$17)*($D$10-O13)/$D$10,"0"),""),"")</f>
        <v/>
      </c>
      <c r="P18" s="148">
        <f>$D$10</f>
        <v/>
      </c>
    </row>
    <row r="19" ht="24.9" customHeight="1">
      <c r="A19" s="131" t="inlineStr">
        <is>
          <t xml:space="preserve"> (9) DO CORRECTION = (7) - (8)</t>
        </is>
      </c>
      <c r="B19" s="422" t="n"/>
      <c r="C19" s="423" t="n"/>
      <c r="D19" s="149">
        <f>IFERROR(IF(D12&gt;0,D17-D18,""),"")</f>
        <v/>
      </c>
      <c r="E19" s="149">
        <f>IFERROR(IF(E12&gt;0,E17-E18,""),"")</f>
        <v/>
      </c>
      <c r="F19" s="149">
        <f>IFERROR(IF(F12&gt;0,F17-F18,""),"")</f>
        <v/>
      </c>
      <c r="G19" s="149">
        <f>IFERROR(IF(G12&gt;0,G17-G18,""),"")</f>
        <v/>
      </c>
      <c r="H19" s="149">
        <f>IFERROR(IF(H12&gt;0,H17-H18,""),"")</f>
        <v/>
      </c>
      <c r="I19" s="149">
        <f>IFERROR(IF(I12&gt;0,I17-I18,""),"")</f>
        <v/>
      </c>
      <c r="J19" s="149">
        <f>IFERROR(IF(J12&gt;0,J17-J18,""),"")</f>
        <v/>
      </c>
      <c r="K19" s="149">
        <f>IFERROR(IF(K12&gt;0,K17-K18,""),"")</f>
        <v/>
      </c>
      <c r="L19" s="149">
        <f>IFERROR(IF(L12&gt;0,L17-L18,""),"")</f>
        <v/>
      </c>
      <c r="M19" s="149">
        <f>IFERROR(IF(M12&gt;0,M17-M18,""),"")</f>
        <v/>
      </c>
      <c r="N19" s="150">
        <f>IFERROR(N17-(N18+$P$21),"")</f>
        <v/>
      </c>
      <c r="O19" s="150">
        <f>IFERROR(O17-(O18+$P$23),"")</f>
        <v/>
      </c>
      <c r="P19" s="820">
        <f>IFERROR(IF($D$21="",($E$22*$P$17/$P$18),($D$21*$P$17/$P$18)),"")</f>
        <v/>
      </c>
    </row>
    <row r="20" ht="24.9" customHeight="1">
      <c r="A20" s="151" t="inlineStr">
        <is>
          <t xml:space="preserve"> (10) BOD5, mg/l = (9) X (4)</t>
        </is>
      </c>
      <c r="B20" s="422" t="n"/>
      <c r="C20" s="423" t="n"/>
      <c r="D20" s="782">
        <f>IFERROR(IF(D16&gt;0,IF(D19&gt;=2,D19*D14,""),""),"")</f>
        <v/>
      </c>
      <c r="E20" s="782">
        <f>IFERROR(IF(E16&gt;0,IF(E19&gt;=2,E19*E14,""),""),"")</f>
        <v/>
      </c>
      <c r="F20" s="782">
        <f>IFERROR(IF(F16&gt;0,IF(F19&gt;=2,F19*F14,""),""),"")</f>
        <v/>
      </c>
      <c r="G20" s="782">
        <f>IFERROR(IF(G16&gt;0,IF(G19&gt;=2,G19*G14,""),""),"")</f>
        <v/>
      </c>
      <c r="H20" s="782">
        <f>IFERROR(IF(H16&gt;0,IF(H19&gt;=2,H19*H14,""),""),"")</f>
        <v/>
      </c>
      <c r="I20" s="782">
        <f>IFERROR(IF(I16&gt;0,IF(I19&gt;=2,I19*I14,""),""),"")</f>
        <v/>
      </c>
      <c r="J20" s="782">
        <f>IFERROR(IF(J16&gt;0,IF(J19&gt;=2,J19*J14,""),""),"")</f>
        <v/>
      </c>
      <c r="K20" s="782">
        <f>IFERROR(IF(K16&gt;0,IF(K19&gt;=2,K19*K14,""),""),"")</f>
        <v/>
      </c>
      <c r="L20" s="782">
        <f>IFERROR(IF(L16&gt;0,IF(L19&gt;=2,L19*L14,""),""),"")</f>
        <v/>
      </c>
      <c r="M20" s="782">
        <f>IFERROR(IF(M16&gt;0,IF(M19&gt;=2,M19*M14,""),""),"")</f>
        <v/>
      </c>
      <c r="N20" s="782">
        <f>IFERROR(IF(N16&gt;0,IF(N19&gt;=2,N19*N14,""),""),"")</f>
        <v/>
      </c>
      <c r="O20" s="782">
        <f>IFERROR(IF(O16&gt;0,IF(O19&gt;=2,O19*O14,""),""),"")</f>
        <v/>
      </c>
      <c r="P20" s="821">
        <f>IFERROR(IF($D$21="",($E$22*$M$23/$P$18),($D$21*$M$23/$P$18)),"")</f>
        <v/>
      </c>
    </row>
    <row r="21" ht="24.9" customHeight="1" thickBot="1">
      <c r="A21" s="152" t="inlineStr">
        <is>
          <t xml:space="preserve"> (11) BOD5  AVERAGE</t>
        </is>
      </c>
      <c r="B21" s="683" t="n"/>
      <c r="C21" s="540" t="n"/>
      <c r="D21" s="784">
        <f>IFERROR(AVERAGE(D20:I20),"")</f>
        <v/>
      </c>
      <c r="E21" s="692" t="n"/>
      <c r="F21" s="692" t="n"/>
      <c r="G21" s="692" t="n"/>
      <c r="H21" s="692" t="n"/>
      <c r="I21" s="656" t="n"/>
      <c r="J21" s="784">
        <f>IFERROR(AVERAGE(J20:K20),"")</f>
        <v/>
      </c>
      <c r="K21" s="656" t="n"/>
      <c r="L21" s="784">
        <f>IFERROR(AVERAGE(L20:M20),"")</f>
        <v/>
      </c>
      <c r="M21" s="656" t="n"/>
      <c r="N21" s="784">
        <f>IFERROR(AVERAGE(N20:O20),"")</f>
        <v/>
      </c>
      <c r="O21" s="656" t="n"/>
      <c r="P21" s="252">
        <f>IFERROR(IF($D$21="",($E$22*$N$23/$P$18),($D$21*$N$23/$P$18)),"")</f>
        <v/>
      </c>
    </row>
    <row r="22" ht="24.9" customHeight="1">
      <c r="A22" s="154" t="inlineStr">
        <is>
          <t xml:space="preserve"> (12) BOD5  Correction</t>
        </is>
      </c>
      <c r="B22" s="684" t="n"/>
      <c r="C22" s="571" t="n"/>
      <c r="D22" s="785">
        <f>IFERROR(IF($D$16="","",IF(OR(D17="",D20=""),(IF(D12&gt;0,(D19),""))*D14,"")),"")</f>
        <v/>
      </c>
      <c r="E22" s="785">
        <f>IFERROR(IF($D$16="","",IF(OR(E17="",E20=""),(IF(E12&gt;0,(E19),""))*E14,"")),"")</f>
        <v/>
      </c>
      <c r="F22" s="785">
        <f>IFERROR(IF($D$16="","",IF(OR(F17="",F20=""),(IF(F12&gt;0,(F19),""))*F14,"")),"")</f>
        <v/>
      </c>
      <c r="G22" s="785">
        <f>IFERROR(IF($D$16="","",IF(OR(G17="",G20=""),(IF(G12&gt;0,(G19),""))*G14,"")),"")</f>
        <v/>
      </c>
      <c r="H22" s="785">
        <f>IFERROR(IF($D$16="","",IF(OR(H17="",H20=""),(IF(H12&gt;0,(H19),""))*H14,"")),"")</f>
        <v/>
      </c>
      <c r="I22" s="785">
        <f>IFERROR(IF($D$16="","",IF(OR(I17="",I20=""),(IF(I12&gt;0,(I19),""))*I14,"")),"")</f>
        <v/>
      </c>
      <c r="J22" s="785">
        <f>IFERROR(IF($D$16="","",IF(OR(J17="",J20=""),(IF(J12&gt;0,(J19),""))*J14,"")),"")</f>
        <v/>
      </c>
      <c r="K22" s="785">
        <f>IFERROR(IF($D$16="","",IF(OR(K17="",K20=""),(IF(K12&gt;0,(K19),""))*K14,"")),"")</f>
        <v/>
      </c>
      <c r="L22" s="785">
        <f>IFERROR(IF($D$16="","",IF(OR(L17="",L20=""),(IF(L12&gt;0,(L19),""))*L14,"")),"")</f>
        <v/>
      </c>
      <c r="M22" s="785">
        <f>IFERROR(IF($D$16="","",IF(OR(M17="",M20=""),(IF(M12&gt;0,(M19),""))*M14,"")),"")</f>
        <v/>
      </c>
      <c r="N22" s="785">
        <f>IFERROR(IF($D$16="","",IF(OR(N17="",N20=""),(IF(N12&gt;0,(N19),""))*N14,"")),"")</f>
        <v/>
      </c>
      <c r="O22" s="785">
        <f>IFERROR(IF($D$16="","",IF(OR(O17="",O20=""),(IF(O12&gt;0,(O19),""))*O14,"")),"")</f>
        <v/>
      </c>
      <c r="P22" s="785">
        <f>IFERROR(IF(P16&gt;0,IF(P19&gt;=2,P19*P14,""),""),"")</f>
        <v/>
      </c>
    </row>
    <row r="23" ht="24.9" customHeight="1" thickBot="1">
      <c r="A23" s="253" t="inlineStr">
        <is>
          <t>( 13 ) Seeding DO depletion/ml</t>
        </is>
      </c>
      <c r="B23" s="684" t="n"/>
      <c r="C23" s="571" t="n"/>
      <c r="D23" s="822">
        <f>IFERROR(IF(D19="","",D19/D13),"")</f>
        <v/>
      </c>
      <c r="E23" s="822">
        <f>IFERROR(IF(E19="","",E19/E13),"")</f>
        <v/>
      </c>
      <c r="F23" s="822">
        <f>IFERROR(IF(F19="","",F19/F13),"")</f>
        <v/>
      </c>
      <c r="G23" s="822">
        <f>IFERROR(IF(G19="","",G19/G13),"")</f>
        <v/>
      </c>
      <c r="H23" s="822">
        <f>IFERROR(IF(H19="","",H19/H13),"")</f>
        <v/>
      </c>
      <c r="I23" s="822">
        <f>IFERROR(IF(I19="","",I19/I13),"")</f>
        <v/>
      </c>
      <c r="J23" s="823" t="n">
        <v>2</v>
      </c>
      <c r="K23" s="823" t="n">
        <v>3</v>
      </c>
      <c r="L23" s="823" t="n">
        <v>4</v>
      </c>
      <c r="M23" s="823" t="n">
        <v>6</v>
      </c>
      <c r="N23" s="824" t="n"/>
      <c r="O23" s="824" t="n"/>
      <c r="P23" s="252">
        <f>IFERROR(IF($D$21="",($E$22*$O$23/$P$18),($D$21*$O$23/$P$18)),"")</f>
        <v/>
      </c>
    </row>
    <row r="24" ht="24.9" customHeight="1">
      <c r="A24" s="251" t="inlineStr">
        <is>
          <t xml:space="preserve"> (14) LOD ( Limit of Detection ) = 2 mg DO/L X ( 4 )</t>
        </is>
      </c>
      <c r="B24" s="684" t="n"/>
      <c r="C24" s="571" t="n"/>
      <c r="D24" s="818">
        <f>IFERROR(2*D14,"")</f>
        <v/>
      </c>
      <c r="E24" s="818">
        <f>IFERROR(2*E14,"")</f>
        <v/>
      </c>
      <c r="F24" s="818">
        <f>IFERROR(2*F14,"")</f>
        <v/>
      </c>
      <c r="G24" s="818">
        <f>IFERROR(2*G14,"")</f>
        <v/>
      </c>
      <c r="H24" s="818">
        <f>IFERROR(2*H14,"")</f>
        <v/>
      </c>
      <c r="I24" s="818">
        <f>IFERROR(2*I14,"")</f>
        <v/>
      </c>
      <c r="J24" s="818">
        <f>IFERROR(2*J14,"")</f>
        <v/>
      </c>
      <c r="K24" s="818">
        <f>IFERROR(2*K14,"")</f>
        <v/>
      </c>
      <c r="L24" s="818">
        <f>IFERROR(2*L14,"")</f>
        <v/>
      </c>
      <c r="M24" s="818">
        <f>IFERROR(2*M14,"")</f>
        <v/>
      </c>
      <c r="N24" s="818">
        <f>IFERROR(2*N14,"")</f>
        <v/>
      </c>
      <c r="O24" s="818">
        <f>IFERROR(2*O14,"")</f>
        <v/>
      </c>
      <c r="P24" s="785">
        <f>IFERROR(IF(P18&gt;0,IF(P21&gt;=2,P21*P16,""),""),"")</f>
        <v/>
      </c>
    </row>
    <row r="25" ht="24" customHeight="1" thickBot="1">
      <c r="A25" s="253" t="inlineStr">
        <is>
          <t>RPD</t>
        </is>
      </c>
      <c r="B25" s="541" t="n"/>
      <c r="C25" s="543" t="n"/>
      <c r="D25" s="740">
        <f>IFERROR((MAX(D20:I20)-MIN(D20:I20))/D21,"")</f>
        <v/>
      </c>
      <c r="E25" s="623" t="n"/>
      <c r="F25" s="623" t="n"/>
      <c r="G25" s="623" t="n"/>
      <c r="H25" s="623" t="n"/>
      <c r="I25" s="569" t="n"/>
      <c r="J25" s="298" t="n"/>
      <c r="K25" s="298" t="n"/>
      <c r="L25" s="298" t="n"/>
      <c r="M25" s="298" t="n"/>
      <c r="N25" s="298" t="n"/>
      <c r="O25" s="298" t="n"/>
      <c r="P25" s="141" t="n"/>
    </row>
    <row r="28">
      <c r="E28" s="758" t="n"/>
    </row>
    <row r="30">
      <c r="A30" s="741" t="inlineStr">
        <is>
          <t>رجوع الى BOD</t>
        </is>
      </c>
      <c r="B30" s="582" t="n"/>
      <c r="M30" s="738" t="inlineStr">
        <is>
          <t>رجوع</t>
        </is>
      </c>
      <c r="N30" s="582" t="n"/>
    </row>
    <row r="31">
      <c r="A31" s="582" t="n"/>
      <c r="B31" s="582" t="n"/>
      <c r="M31" s="582" t="n"/>
      <c r="N31" s="582" t="n"/>
    </row>
    <row r="32">
      <c r="A32" s="582" t="n"/>
      <c r="B32" s="582" t="n"/>
      <c r="M32" s="582" t="n"/>
      <c r="N32" s="582" t="n"/>
    </row>
    <row r="33">
      <c r="A33" s="582" t="n"/>
      <c r="B33" s="582" t="n"/>
      <c r="M33" s="582" t="n"/>
      <c r="N33" s="58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gjtefNSYgLewWKgpYXlXw==" formatRows="1" sort="1" spinCount="100000" hashValue="EP0i2Jj78hn97t2Xq4MFHIvut8C/79fxiHCS7MY0xsu7/CwT1Pf2MUvlrSADbnOWjdi3TnpbQZQed/U2wS6teA=="/>
  <mergeCells count="20">
    <mergeCell ref="D11:I11"/>
    <mergeCell ref="A5:P5"/>
    <mergeCell ref="B13:C14"/>
    <mergeCell ref="N11:O11"/>
    <mergeCell ref="H10:O10"/>
    <mergeCell ref="N8:P8"/>
    <mergeCell ref="M30:N33"/>
    <mergeCell ref="N21:O21"/>
    <mergeCell ref="B11:C11"/>
    <mergeCell ref="J6:K6"/>
    <mergeCell ref="D25:I25"/>
    <mergeCell ref="N6:P6"/>
    <mergeCell ref="B21:C25"/>
    <mergeCell ref="N7:P7"/>
    <mergeCell ref="J21:K21"/>
    <mergeCell ref="L21:M21"/>
    <mergeCell ref="A30:B33"/>
    <mergeCell ref="J11:M11"/>
    <mergeCell ref="J9:L9"/>
    <mergeCell ref="D21:I21"/>
  </mergeCells>
  <hyperlinks>
    <hyperlink ref="A30" location="'BOD5'!Print_Area" display="رجوع الى BOD"/>
    <hyperlink ref="M30" location="Main!A1" display="رجوع"/>
  </hyperlinks>
  <pageMargins left="0.748030402449694" right="0.748030402449694" top="0.984251968503937" bottom="0.984251968503937" header="0.511809930008749" footer="0.511809930008749"/>
  <pageSetup orientation="landscape" paperSize="9" scale="62"/>
</worksheet>
</file>

<file path=xl/worksheets/sheet16.xml><?xml version="1.0" encoding="utf-8"?>
<worksheet xmlns="http://schemas.openxmlformats.org/spreadsheetml/2006/main">
  <sheetPr codeName="Sheet16">
    <outlinePr summaryBelow="1" summaryRight="1"/>
    <pageSetUpPr fitToPage="1"/>
  </sheetPr>
  <dimension ref="B1:BH486"/>
  <sheetViews>
    <sheetView zoomScaleNormal="100" workbookViewId="0">
      <selection activeCell="C21" sqref="C21"/>
    </sheetView>
  </sheetViews>
  <sheetFormatPr baseColWidth="8" defaultColWidth="9.109375" defaultRowHeight="13.2"/>
  <cols>
    <col width="9.109375" customWidth="1" style="223" min="1" max="2"/>
    <col width="13" customWidth="1" style="223" min="3" max="3"/>
    <col width="16.5546875" customWidth="1" style="223" min="4" max="4"/>
    <col width="23.44140625" customWidth="1" style="223" min="5" max="5"/>
    <col width="10.33203125" customWidth="1" style="223" min="6" max="6"/>
    <col width="10.5546875" customWidth="1" style="223" min="7" max="7"/>
    <col width="13.33203125" customWidth="1" style="223" min="8" max="8"/>
    <col width="16.88671875" customWidth="1" style="223" min="9" max="9"/>
    <col width="13.109375" customWidth="1" style="223" min="10" max="10"/>
    <col width="9.109375" customWidth="1" style="223" min="11" max="40"/>
    <col width="11.109375" customWidth="1" style="378" min="41" max="41"/>
    <col width="13.109375" customWidth="1" style="378" min="42" max="42"/>
    <col width="11.5546875" bestFit="1" customWidth="1" style="378" min="43" max="44"/>
    <col width="11.109375" customWidth="1" style="378" min="45" max="45"/>
    <col width="11.33203125" bestFit="1" customWidth="1" style="378" min="46" max="46"/>
    <col width="11.6640625" bestFit="1" customWidth="1" style="378" min="47" max="47"/>
    <col width="11.109375" customWidth="1" style="378" min="48" max="48"/>
    <col width="11.5546875" bestFit="1" customWidth="1" style="378" min="49" max="50"/>
    <col width="12" customWidth="1" style="378" min="51" max="51"/>
    <col width="12.109375" customWidth="1" style="378" min="52" max="53"/>
    <col width="9.109375" customWidth="1" style="223" min="54" max="55"/>
    <col width="12.6640625" customWidth="1" style="223" min="56" max="56"/>
    <col width="12.33203125" customWidth="1" style="223" min="57" max="57"/>
    <col width="16.44140625" customWidth="1" style="223" min="58" max="58"/>
    <col width="9.109375" customWidth="1" style="223" min="59" max="60"/>
    <col width="9.109375" customWidth="1" style="223" min="61" max="16384"/>
  </cols>
  <sheetData>
    <row r="1">
      <c r="AO1" s="223" t="n"/>
      <c r="AP1" s="223" t="n"/>
      <c r="AQ1" s="223" t="n"/>
      <c r="AR1" s="223" t="n"/>
      <c r="AS1" s="223" t="n"/>
      <c r="AT1" s="223" t="n"/>
      <c r="AU1" s="223" t="n"/>
      <c r="AV1" s="223" t="n"/>
      <c r="AW1" s="223" t="n"/>
      <c r="AX1" s="223" t="n"/>
      <c r="AY1" s="223" t="n"/>
      <c r="AZ1" s="223" t="n"/>
      <c r="BA1" s="223" t="n"/>
    </row>
    <row r="2">
      <c r="AO2" s="223" t="n"/>
      <c r="AP2" s="223" t="n"/>
      <c r="AQ2" s="223" t="n"/>
      <c r="AR2" s="223" t="n"/>
      <c r="AS2" s="223" t="n"/>
      <c r="AT2" s="223" t="n"/>
      <c r="AU2" s="223" t="n"/>
      <c r="AV2" s="223" t="n"/>
      <c r="AW2" s="223" t="n"/>
      <c r="AX2" s="223" t="n"/>
      <c r="AY2" s="223" t="n"/>
      <c r="AZ2" s="223" t="n"/>
      <c r="BA2" s="223" t="n"/>
    </row>
    <row r="3">
      <c r="AO3" s="223" t="n"/>
      <c r="AP3" s="223" t="n"/>
      <c r="AQ3" s="223" t="n"/>
      <c r="AR3" s="223" t="n"/>
      <c r="AS3" s="223" t="n"/>
      <c r="AT3" s="223" t="n"/>
      <c r="AU3" s="223" t="n"/>
      <c r="AV3" s="223" t="n"/>
      <c r="AW3" s="223" t="n"/>
      <c r="AX3" s="223" t="n"/>
      <c r="AY3" s="223" t="n"/>
      <c r="AZ3" s="223" t="n"/>
      <c r="BA3" s="223" t="n"/>
    </row>
    <row r="4">
      <c r="AO4" s="223" t="n"/>
      <c r="AP4" s="223" t="n"/>
      <c r="AQ4" s="223" t="n"/>
      <c r="AR4" s="223" t="n"/>
      <c r="AS4" s="223" t="n"/>
      <c r="AT4" s="223" t="n"/>
      <c r="AU4" s="223" t="n"/>
      <c r="AV4" s="223" t="n"/>
      <c r="AW4" s="223" t="n"/>
      <c r="AX4" s="223" t="n"/>
      <c r="AY4" s="223" t="n"/>
      <c r="AZ4" s="223" t="n"/>
      <c r="BA4" s="223" t="n"/>
    </row>
    <row r="5">
      <c r="AO5" s="376" t="n"/>
      <c r="AP5" s="376" t="n"/>
      <c r="AQ5" s="376" t="n"/>
      <c r="AR5" s="376" t="n"/>
      <c r="AS5" s="376" t="n"/>
      <c r="AT5" s="376" t="n"/>
      <c r="AU5" s="376" t="n"/>
      <c r="AV5" s="376" t="n"/>
      <c r="AW5" s="376" t="n"/>
      <c r="AX5" s="376" t="n"/>
      <c r="AY5" s="376" t="n"/>
      <c r="AZ5" s="376" t="n"/>
      <c r="BA5" s="376" t="n"/>
      <c r="BB5" s="376" t="n"/>
      <c r="BC5" s="376" t="n"/>
      <c r="BD5" s="376" t="n"/>
      <c r="BE5" s="376" t="n"/>
      <c r="BF5" s="376" t="n"/>
      <c r="BG5" s="376" t="n"/>
      <c r="BH5" s="376" t="n"/>
    </row>
    <row r="6">
      <c r="AO6" s="301" t="n"/>
      <c r="AP6" s="301" t="n"/>
      <c r="AQ6" s="301" t="n"/>
      <c r="AR6" s="301" t="n"/>
      <c r="AS6" s="301" t="n"/>
      <c r="AT6" s="301" t="n"/>
      <c r="AU6" s="301" t="n"/>
      <c r="AV6" s="301" t="n"/>
      <c r="AW6" s="301" t="n"/>
      <c r="AX6" s="301" t="n"/>
      <c r="AY6" s="301" t="n"/>
      <c r="AZ6" s="301" t="n"/>
      <c r="BA6" s="301" t="n"/>
      <c r="BB6" s="301" t="n"/>
      <c r="BC6" s="301" t="n"/>
      <c r="BD6" s="301" t="n"/>
      <c r="BE6" s="301" t="n"/>
      <c r="BF6" s="301" t="n"/>
      <c r="BG6" s="376" t="n"/>
      <c r="BH6" s="376" t="n"/>
    </row>
    <row r="7">
      <c r="AO7" s="301" t="n"/>
      <c r="AP7" s="301" t="n"/>
      <c r="AQ7" s="301" t="n"/>
      <c r="AR7" s="301" t="n"/>
      <c r="AS7" s="301" t="n"/>
      <c r="AT7" s="301" t="n"/>
      <c r="AU7" s="301" t="n"/>
      <c r="AV7" s="301" t="n"/>
      <c r="AW7" s="301" t="n"/>
      <c r="AX7" s="301" t="n"/>
      <c r="AY7" s="301" t="n"/>
      <c r="AZ7" s="301" t="n"/>
      <c r="BA7" s="301" t="n"/>
      <c r="BB7" s="301" t="n"/>
      <c r="BC7" s="301" t="n"/>
      <c r="BD7" s="301" t="n"/>
      <c r="BE7" s="301" t="n"/>
      <c r="BF7" s="301" t="n"/>
      <c r="BG7" s="376" t="n"/>
      <c r="BH7" s="376" t="n"/>
    </row>
    <row r="8">
      <c r="AO8" s="381" t="inlineStr">
        <is>
          <t>Column1</t>
        </is>
      </c>
      <c r="AP8" s="382" t="inlineStr">
        <is>
          <t>20E79250</t>
        </is>
      </c>
      <c r="AQ8" s="381" t="inlineStr">
        <is>
          <t>18B75913</t>
        </is>
      </c>
      <c r="AR8" s="381" t="inlineStr">
        <is>
          <t>18B75882</t>
        </is>
      </c>
      <c r="AS8" s="381" t="inlineStr">
        <is>
          <t>20G33697</t>
        </is>
      </c>
      <c r="AT8" s="381" t="inlineStr">
        <is>
          <t>50109103</t>
        </is>
      </c>
      <c r="AU8" s="381" t="inlineStr">
        <is>
          <t>20G33740</t>
        </is>
      </c>
      <c r="AV8" s="381" t="inlineStr">
        <is>
          <t>19C43897</t>
        </is>
      </c>
      <c r="AW8" s="381" t="inlineStr">
        <is>
          <t>19C43891</t>
        </is>
      </c>
      <c r="AX8" s="381" t="inlineStr">
        <is>
          <t>19A06196</t>
        </is>
      </c>
      <c r="AY8" s="381" t="inlineStr">
        <is>
          <t>19C43892</t>
        </is>
      </c>
      <c r="AZ8" s="381" t="inlineStr">
        <is>
          <t>100820020</t>
        </is>
      </c>
      <c r="BA8" s="381" t="inlineStr">
        <is>
          <t>Column13</t>
        </is>
      </c>
      <c r="BB8" s="301" t="n"/>
      <c r="BC8" s="301" t="n"/>
      <c r="BD8" s="302" t="inlineStr">
        <is>
          <t>Weigh</t>
        </is>
      </c>
      <c r="BE8" s="302" t="inlineStr">
        <is>
          <t>Error</t>
        </is>
      </c>
      <c r="BF8" s="302" t="inlineStr">
        <is>
          <t>Correction</t>
        </is>
      </c>
      <c r="BG8" s="376" t="n"/>
      <c r="BH8" s="376" t="n"/>
    </row>
    <row r="9">
      <c r="AO9" s="302" t="n"/>
      <c r="AP9" s="383" t="inlineStr">
        <is>
          <t>20E79250</t>
        </is>
      </c>
      <c r="AQ9" s="383" t="inlineStr">
        <is>
          <t>18B75913</t>
        </is>
      </c>
      <c r="AR9" s="383" t="inlineStr">
        <is>
          <t>18B75882</t>
        </is>
      </c>
      <c r="AS9" s="383" t="inlineStr">
        <is>
          <t>20G33697</t>
        </is>
      </c>
      <c r="AT9" s="383" t="n">
        <v>50109103</v>
      </c>
      <c r="AU9" s="383" t="inlineStr">
        <is>
          <t>20G33740</t>
        </is>
      </c>
      <c r="AV9" s="383" t="inlineStr">
        <is>
          <t>19C43897</t>
        </is>
      </c>
      <c r="AW9" s="383" t="inlineStr">
        <is>
          <t>19C43891</t>
        </is>
      </c>
      <c r="AX9" s="383" t="inlineStr">
        <is>
          <t>19A06196</t>
        </is>
      </c>
      <c r="AY9" s="383" t="inlineStr">
        <is>
          <t>19C43892</t>
        </is>
      </c>
      <c r="AZ9" s="383" t="inlineStr">
        <is>
          <t>100820020</t>
        </is>
      </c>
      <c r="BA9" s="383" t="inlineStr">
        <is>
          <t>Column13</t>
        </is>
      </c>
      <c r="BB9" s="301" t="n"/>
      <c r="BC9" s="301" t="n"/>
      <c r="BD9" s="302" t="n">
        <v>0</v>
      </c>
      <c r="BE9" s="302" t="n">
        <v>0</v>
      </c>
      <c r="BF9" s="302">
        <f>-Radwag[[#This Row],[Error]]</f>
        <v/>
      </c>
      <c r="BG9" s="376" t="n"/>
      <c r="BH9" s="376" t="n"/>
    </row>
    <row r="10">
      <c r="AO10" s="302" t="n">
        <v>0.5</v>
      </c>
      <c r="AP10" s="302" t="n">
        <v>0.03</v>
      </c>
      <c r="AQ10" s="302" t="n">
        <v>0.01</v>
      </c>
      <c r="AR10" s="302" t="n">
        <v>0</v>
      </c>
      <c r="AS10" s="302" t="n"/>
      <c r="AT10" s="302" t="n">
        <v>-0.0155</v>
      </c>
      <c r="AU10" s="302" t="n">
        <v>0.104</v>
      </c>
      <c r="AV10" s="302" t="n">
        <v>0.0032</v>
      </c>
      <c r="AW10" s="302" t="n">
        <v>0.1768</v>
      </c>
      <c r="AX10" s="302" t="n">
        <v>0</v>
      </c>
      <c r="AY10" s="302" t="n">
        <v>-0.027</v>
      </c>
      <c r="AZ10" s="302" t="n"/>
      <c r="BA10" s="302" t="n"/>
      <c r="BB10" s="301" t="n"/>
      <c r="BC10" s="301" t="n"/>
      <c r="BD10" s="302" t="n">
        <v>0.0099999999999999</v>
      </c>
      <c r="BE10" s="302" t="n">
        <v>-0.0002</v>
      </c>
      <c r="BF10" s="302">
        <f>-Radwag[[#This Row],[Error]]</f>
        <v/>
      </c>
      <c r="BG10" s="376" t="n"/>
      <c r="BH10" s="376" t="n"/>
    </row>
    <row r="11">
      <c r="AO11" s="302" t="n">
        <v>1</v>
      </c>
      <c r="AP11" s="302" t="n">
        <v>0.03</v>
      </c>
      <c r="AQ11" s="302" t="n">
        <v>0</v>
      </c>
      <c r="AR11" s="302" t="n">
        <v>0</v>
      </c>
      <c r="AS11" s="302" t="n"/>
      <c r="AT11" s="302" t="n">
        <v>-0.016</v>
      </c>
      <c r="AU11" s="302" t="n">
        <v>0.08799999999999999</v>
      </c>
      <c r="AV11" s="302" t="n">
        <v>-0.0001</v>
      </c>
      <c r="AW11" s="302" t="n">
        <v>0.1701</v>
      </c>
      <c r="AX11" s="302" t="n">
        <v>0</v>
      </c>
      <c r="AY11" s="302" t="n">
        <v>-0.03</v>
      </c>
      <c r="AZ11" s="302" t="n">
        <v>0.03</v>
      </c>
      <c r="BA11" s="302" t="n"/>
      <c r="BB11" s="301" t="n"/>
      <c r="BC11" s="301" t="n"/>
      <c r="BD11" s="302" t="n">
        <v>0.0199999999999999</v>
      </c>
      <c r="BE11" s="302" t="n">
        <v>-0.000175</v>
      </c>
      <c r="BF11" s="302">
        <f>-Radwag[[#This Row],[Error]]</f>
        <v/>
      </c>
      <c r="BG11" s="376" t="n"/>
      <c r="BH11" s="376" t="n"/>
    </row>
    <row r="12">
      <c r="B12" s="281" t="inlineStr">
        <is>
          <t>S.N.</t>
        </is>
      </c>
      <c r="C12" s="281" t="inlineStr">
        <is>
          <t>WEIGHT</t>
        </is>
      </c>
      <c r="D12" s="281" t="inlineStr">
        <is>
          <t>Correcttion</t>
        </is>
      </c>
      <c r="E12" s="281" t="inlineStr">
        <is>
          <t>Net weight</t>
        </is>
      </c>
      <c r="AO12" s="302" t="n">
        <v>1.5</v>
      </c>
      <c r="AP12" s="302" t="n">
        <v>0.01875</v>
      </c>
      <c r="AQ12" s="302" t="n">
        <v>-0.005</v>
      </c>
      <c r="AR12" s="302" t="n">
        <v>-0.0075</v>
      </c>
      <c r="AS12" s="302" t="n"/>
      <c r="AT12" s="302" t="n">
        <v>-0.0165</v>
      </c>
      <c r="AU12" s="302" t="n">
        <v>0.07199999999999999</v>
      </c>
      <c r="AV12" s="302" t="n">
        <v>-0.0034</v>
      </c>
      <c r="AW12" s="302" t="n">
        <v>0.1634</v>
      </c>
      <c r="AX12" s="302" t="n">
        <v>0</v>
      </c>
      <c r="AY12" s="302" t="n">
        <v>-0.033</v>
      </c>
      <c r="AZ12" s="302" t="n"/>
      <c r="BA12" s="302" t="n"/>
      <c r="BB12" s="301" t="n"/>
      <c r="BC12" s="301" t="n"/>
      <c r="BD12" s="302" t="n">
        <v>0.0299999999999999</v>
      </c>
      <c r="BE12" s="302" t="n">
        <v>-0.00015</v>
      </c>
      <c r="BF12" s="302">
        <f>-Radwag[[#This Row],[Error]]</f>
        <v/>
      </c>
      <c r="BG12" s="376" t="n"/>
      <c r="BH12" s="376" t="n"/>
    </row>
    <row r="13">
      <c r="B13" s="281" t="inlineStr">
        <is>
          <t>Beaker</t>
        </is>
      </c>
      <c r="C13" s="282" t="n"/>
      <c r="D13" s="369">
        <f>IFERROR(IF(ISBLANK(Weight[[#This Row],[WEIGHT]]),"",VLOOKUP(ROUND(Weight[[#This Row],[WEIGHT]],0),Radwag[],3,Radwag[[#This Row],[Weigh]])),"")</f>
        <v/>
      </c>
      <c r="E13" s="776">
        <f>IFERROR(Weight[[#This Row],[WEIGHT]]+Weight[[#This Row],[Correcttion]],"")</f>
        <v/>
      </c>
      <c r="AO13" s="302" t="n">
        <v>2</v>
      </c>
      <c r="AP13" s="302" t="n">
        <v>0.0075</v>
      </c>
      <c r="AQ13" s="302" t="n">
        <v>-0.01</v>
      </c>
      <c r="AR13" s="302" t="n">
        <v>-0.015</v>
      </c>
      <c r="AS13" s="302" t="n"/>
      <c r="AT13" s="302" t="n">
        <v>-0.017</v>
      </c>
      <c r="AU13" s="302" t="n">
        <v>0.056</v>
      </c>
      <c r="AV13" s="302" t="n">
        <v>-0.0067</v>
      </c>
      <c r="AW13" s="302" t="n">
        <v>0.1567</v>
      </c>
      <c r="AX13" s="302" t="n">
        <v>0</v>
      </c>
      <c r="AY13" s="302" t="n">
        <v>-0.036</v>
      </c>
      <c r="AZ13" s="302" t="n">
        <v>0.018</v>
      </c>
      <c r="BA13" s="302" t="n"/>
      <c r="BB13" s="301" t="n"/>
      <c r="BC13" s="301" t="n"/>
      <c r="BD13" s="302" t="n">
        <v>0.04</v>
      </c>
      <c r="BE13" s="302" t="n">
        <v>-0.000125</v>
      </c>
      <c r="BF13" s="302">
        <f>-Radwag[[#This Row],[Error]]</f>
        <v/>
      </c>
      <c r="BG13" s="376" t="n"/>
      <c r="BH13" s="376" t="n"/>
    </row>
    <row r="14">
      <c r="B14" s="281" t="inlineStr">
        <is>
          <t>1st</t>
        </is>
      </c>
      <c r="C14" s="282" t="n"/>
      <c r="D14" s="369">
        <f>IFERROR(IF(ISBLANK(Weight[[#This Row],[WEIGHT]]),"",VLOOKUP(ROUND(Weight[[#This Row],[WEIGHT]],0),Radwag[],3,Radwag[[#This Row],[Weigh]])),"")</f>
        <v/>
      </c>
      <c r="E14" s="369">
        <f>IFERROR(Weight[[#This Row],[WEIGHT]]+Weight[[#This Row],[Correcttion]],"")</f>
        <v/>
      </c>
      <c r="AO14" s="302" t="n">
        <v>2.5</v>
      </c>
      <c r="AP14" s="302" t="n">
        <v>-0.00375</v>
      </c>
      <c r="AQ14" s="302" t="n">
        <v>-0.015</v>
      </c>
      <c r="AR14" s="302" t="n">
        <v>-0.0225</v>
      </c>
      <c r="AS14" s="302" t="n"/>
      <c r="AT14" s="302" t="n">
        <v>-0.0175</v>
      </c>
      <c r="AU14" s="302" t="n">
        <v>0.04</v>
      </c>
      <c r="AV14" s="302" t="n">
        <v>-0.01</v>
      </c>
      <c r="AW14" s="302" t="n">
        <v>0.15</v>
      </c>
      <c r="AX14" s="302" t="n">
        <v>0</v>
      </c>
      <c r="AY14" s="302" t="n">
        <v>-0.039</v>
      </c>
      <c r="AZ14" s="302" t="n">
        <v>0.018</v>
      </c>
      <c r="BA14" s="302" t="n"/>
      <c r="BB14" s="301" t="n"/>
      <c r="BC14" s="301" t="n"/>
      <c r="BD14" s="302" t="n">
        <v>0.05</v>
      </c>
      <c r="BE14" s="302" t="n">
        <v>-0.0001</v>
      </c>
      <c r="BF14" s="302">
        <f>-Radwag[[#This Row],[Error]]</f>
        <v/>
      </c>
      <c r="BG14" s="376" t="n"/>
      <c r="BH14" s="376" t="n"/>
    </row>
    <row r="15">
      <c r="B15" s="281" t="inlineStr">
        <is>
          <t>2nd</t>
        </is>
      </c>
      <c r="C15" s="282" t="n"/>
      <c r="D15" s="369">
        <f>IFERROR(IF(ISBLANK(Weight[[#This Row],[WEIGHT]]),"",VLOOKUP(ROUND(Weight[[#This Row],[WEIGHT]],0),Radwag[],3,Radwag[[#This Row],[Weigh]])),"")</f>
        <v/>
      </c>
      <c r="E15" s="369">
        <f>IFERROR(Weight[[#This Row],[WEIGHT]]+Weight[[#This Row],[Correcttion]],"")</f>
        <v/>
      </c>
      <c r="AO15" s="302" t="n">
        <v>3</v>
      </c>
      <c r="AP15" s="302" t="n">
        <v>-0.015</v>
      </c>
      <c r="AQ15" s="302" t="n">
        <v>-0.02</v>
      </c>
      <c r="AR15" s="302" t="n">
        <v>-0.03</v>
      </c>
      <c r="AS15" s="302" t="n"/>
      <c r="AT15" s="302" t="n">
        <v>-0.018</v>
      </c>
      <c r="AU15" s="302" t="n">
        <v>0.024</v>
      </c>
      <c r="AV15" s="302" t="n">
        <v>-0.012</v>
      </c>
      <c r="AW15" s="302" t="n">
        <v>0.144</v>
      </c>
      <c r="AX15" s="302" t="n">
        <v>0</v>
      </c>
      <c r="AY15" s="302" t="n">
        <v>-0.04</v>
      </c>
      <c r="AZ15" s="302" t="n"/>
      <c r="BA15" s="302" t="n"/>
      <c r="BB15" s="301" t="n"/>
      <c r="BC15" s="301" t="n"/>
      <c r="BD15" s="302" t="n">
        <v>0.06</v>
      </c>
      <c r="BE15" s="302" t="n">
        <v>-8.000000000000001e-05</v>
      </c>
      <c r="BF15" s="302">
        <f>-Radwag[[#This Row],[Error]]</f>
        <v/>
      </c>
      <c r="BG15" s="376" t="n"/>
      <c r="BH15" s="376" t="n"/>
    </row>
    <row r="16">
      <c r="B16" s="281" t="inlineStr">
        <is>
          <t>3rd</t>
        </is>
      </c>
      <c r="C16" s="282" t="n"/>
      <c r="D16" s="369">
        <f>IFERROR(IF(ISBLANK(Weight[[#This Row],[WEIGHT]]),"",VLOOKUP(ROUND(Weight[[#This Row],[WEIGHT]],0),Radwag[],3,Radwag[[#This Row],[Weigh]])),"")</f>
        <v/>
      </c>
      <c r="E16" s="369">
        <f>IFERROR(Weight[[#This Row],[WEIGHT]]+Weight[[#This Row],[Correcttion]],"")</f>
        <v/>
      </c>
      <c r="AO16" s="302" t="n">
        <v>3.5</v>
      </c>
      <c r="AP16" s="302" t="n">
        <v>-0.02625</v>
      </c>
      <c r="AQ16" s="302" t="n">
        <v>-0.025</v>
      </c>
      <c r="AR16" s="302" t="n">
        <v>-0.0375</v>
      </c>
      <c r="AS16" s="302" t="n"/>
      <c r="AT16" s="302" t="n">
        <v>-0.0185</v>
      </c>
      <c r="AU16" s="302" t="n">
        <v>0.008</v>
      </c>
      <c r="AV16" s="302" t="n">
        <v>-0.014</v>
      </c>
      <c r="AW16" s="302" t="n">
        <v>0.138</v>
      </c>
      <c r="AX16" s="302" t="n">
        <v>-0.001</v>
      </c>
      <c r="AY16" s="302" t="n">
        <v>-0.04</v>
      </c>
      <c r="AZ16" s="302" t="n"/>
      <c r="BA16" s="302" t="n"/>
      <c r="BB16" s="301" t="n"/>
      <c r="BC16" s="301" t="n"/>
      <c r="BD16" s="302" t="n">
        <v>0.07000000000000001</v>
      </c>
      <c r="BE16" s="302" t="n">
        <v>-6e-05</v>
      </c>
      <c r="BF16" s="302">
        <f>-Radwag[[#This Row],[Error]]</f>
        <v/>
      </c>
      <c r="BG16" s="376" t="n"/>
      <c r="BH16" s="376" t="n"/>
    </row>
    <row r="17">
      <c r="B17" s="281" t="n"/>
      <c r="C17" s="282" t="n"/>
      <c r="D17" s="282" t="n"/>
      <c r="E17" s="776">
        <f>IFERROR(AVERAGE(E16-E15,E15-E14,E14-E13),"")</f>
        <v/>
      </c>
      <c r="AL17" s="283" t="n"/>
      <c r="AO17" s="302" t="n">
        <v>4</v>
      </c>
      <c r="AP17" s="302" t="n">
        <v>-0.0375</v>
      </c>
      <c r="AQ17" s="302" t="n">
        <v>-0.03</v>
      </c>
      <c r="AR17" s="302" t="n">
        <v>-0.045</v>
      </c>
      <c r="AS17" s="302" t="n"/>
      <c r="AT17" s="302" t="n">
        <v>-0.019</v>
      </c>
      <c r="AU17" s="302" t="n">
        <v>-0.008</v>
      </c>
      <c r="AV17" s="302" t="n">
        <v>-0.016</v>
      </c>
      <c r="AW17" s="302" t="n">
        <v>0.132</v>
      </c>
      <c r="AX17" s="302" t="n">
        <v>-0.034</v>
      </c>
      <c r="AY17" s="302" t="n">
        <v>-0.04</v>
      </c>
      <c r="AZ17" s="302" t="n"/>
      <c r="BA17" s="302" t="n"/>
      <c r="BB17" s="301" t="n"/>
      <c r="BC17" s="301" t="n"/>
      <c r="BD17" s="302" t="n">
        <v>0.08</v>
      </c>
      <c r="BE17" s="302" t="n">
        <v>-4e-05</v>
      </c>
      <c r="BF17" s="302">
        <f>-Radwag[[#This Row],[Error]]</f>
        <v/>
      </c>
      <c r="BG17" s="376" t="n"/>
      <c r="BH17" s="376" t="n"/>
    </row>
    <row r="18">
      <c r="AO18" s="302" t="n">
        <v>4.5</v>
      </c>
      <c r="AP18" s="302" t="n">
        <v>-0.04875</v>
      </c>
      <c r="AQ18" s="302" t="n">
        <v>-0.035</v>
      </c>
      <c r="AR18" s="302" t="n">
        <v>-0.0525</v>
      </c>
      <c r="AS18" s="302" t="n"/>
      <c r="AT18" s="302" t="n"/>
      <c r="AU18" s="302" t="n">
        <v>-0.024</v>
      </c>
      <c r="AV18" s="302" t="n">
        <v>-0.018</v>
      </c>
      <c r="AW18" s="302" t="n">
        <v>0.126</v>
      </c>
      <c r="AX18" s="302" t="n">
        <v>-0.067</v>
      </c>
      <c r="AY18" s="302" t="n">
        <v>-0.04</v>
      </c>
      <c r="AZ18" s="302" t="n"/>
      <c r="BA18" s="302" t="n"/>
      <c r="BB18" s="301" t="n"/>
      <c r="BC18" s="301" t="n"/>
      <c r="BD18" s="302" t="n">
        <v>0.09</v>
      </c>
      <c r="BE18" s="302" t="n">
        <v>-2e-05</v>
      </c>
      <c r="BF18" s="302">
        <f>-Radwag[[#This Row],[Error]]</f>
        <v/>
      </c>
      <c r="BG18" s="376" t="n"/>
      <c r="BH18" s="376" t="n"/>
    </row>
    <row r="19">
      <c r="AO19" s="302" t="n">
        <v>5</v>
      </c>
      <c r="AP19" s="302" t="n">
        <v>-0.06</v>
      </c>
      <c r="AQ19" s="302" t="n">
        <v>-0.04</v>
      </c>
      <c r="AR19" s="302" t="n">
        <v>-0.06</v>
      </c>
      <c r="AS19" s="302" t="n"/>
      <c r="AT19" s="302" t="n">
        <v>-0.02</v>
      </c>
      <c r="AU19" s="302" t="n">
        <v>-0.04</v>
      </c>
      <c r="AV19" s="302" t="n">
        <v>-0.02</v>
      </c>
      <c r="AW19" s="302" t="n">
        <v>0.12</v>
      </c>
      <c r="AX19" s="302" t="n">
        <v>-0.1</v>
      </c>
      <c r="AY19" s="302" t="n">
        <v>-0.04</v>
      </c>
      <c r="AZ19" s="302" t="n">
        <v>0.038</v>
      </c>
      <c r="BA19" s="302" t="n"/>
      <c r="BB19" s="301" t="n"/>
      <c r="BC19" s="301" t="n"/>
      <c r="BD19" s="302" t="n">
        <v>0.1</v>
      </c>
      <c r="BE19" s="302" t="n">
        <v>0</v>
      </c>
      <c r="BF19" s="302">
        <f>-Radwag[[#This Row],[Error]]</f>
        <v/>
      </c>
      <c r="BG19" s="376" t="n"/>
      <c r="BH19" s="376" t="n"/>
    </row>
    <row r="20">
      <c r="AO20" s="302" t="n">
        <v>6</v>
      </c>
      <c r="AP20" s="302" t="n">
        <v>-0.064</v>
      </c>
      <c r="AQ20" s="302" t="n">
        <v>-0.044</v>
      </c>
      <c r="AR20" s="302" t="n">
        <v>-0.064</v>
      </c>
      <c r="AS20" s="302" t="n"/>
      <c r="AT20" s="302" t="n">
        <v>-0.021</v>
      </c>
      <c r="AU20" s="302" t="n">
        <v>-0.056</v>
      </c>
      <c r="AV20" s="302" t="n"/>
      <c r="AW20" s="302" t="n"/>
      <c r="AX20" s="302" t="n"/>
      <c r="AY20" s="302" t="n"/>
      <c r="AZ20" s="302" t="n"/>
      <c r="BA20" s="302" t="n"/>
      <c r="BB20" s="301" t="n"/>
      <c r="BC20" s="301" t="n"/>
      <c r="BD20" s="302" t="n">
        <v>0.2</v>
      </c>
      <c r="BE20" s="302" t="n">
        <v>0</v>
      </c>
      <c r="BF20" s="302">
        <f>-Radwag[[#This Row],[Error]]</f>
        <v/>
      </c>
      <c r="BG20" s="376" t="n"/>
      <c r="BH20" s="376" t="n"/>
    </row>
    <row r="21">
      <c r="AO21" s="302" t="n">
        <v>7</v>
      </c>
      <c r="AP21" s="302" t="n">
        <v>-0.068</v>
      </c>
      <c r="AQ21" s="302" t="n">
        <v>-0.048</v>
      </c>
      <c r="AR21" s="302" t="n">
        <v>-0.068</v>
      </c>
      <c r="AS21" s="302" t="n"/>
      <c r="AT21" s="302" t="n">
        <v>-0.022</v>
      </c>
      <c r="AU21" s="302" t="n">
        <v>-0.07199999999999999</v>
      </c>
      <c r="AV21" s="302" t="n"/>
      <c r="AW21" s="302" t="n"/>
      <c r="AX21" s="302" t="n"/>
      <c r="AY21" s="302" t="n"/>
      <c r="AZ21" s="302" t="n"/>
      <c r="BA21" s="302" t="n"/>
      <c r="BB21" s="301" t="n"/>
      <c r="BC21" s="301" t="n"/>
      <c r="BD21" s="302" t="n">
        <v>0.3</v>
      </c>
      <c r="BE21" s="302" t="n">
        <v>1.7e-05</v>
      </c>
      <c r="BF21" s="302">
        <f>-Radwag[[#This Row],[Error]]</f>
        <v/>
      </c>
      <c r="BG21" s="376" t="n"/>
      <c r="BH21" s="376" t="n"/>
    </row>
    <row r="22">
      <c r="AO22" s="302" t="n">
        <v>8</v>
      </c>
      <c r="AP22" s="302" t="n">
        <v>-0.07199999999999999</v>
      </c>
      <c r="AQ22" s="302" t="n">
        <v>-0.052</v>
      </c>
      <c r="AR22" s="302" t="n">
        <v>-0.07199999999999999</v>
      </c>
      <c r="AS22" s="302" t="n"/>
      <c r="AT22" s="302" t="n">
        <v>-0.023</v>
      </c>
      <c r="AU22" s="302" t="n">
        <v>-0.08799999999999999</v>
      </c>
      <c r="AV22" s="302" t="n"/>
      <c r="AW22" s="302" t="n"/>
      <c r="AX22" s="302" t="n"/>
      <c r="AY22" s="302" t="n"/>
      <c r="AZ22" s="302" t="n"/>
      <c r="BA22" s="302" t="n"/>
      <c r="BB22" s="301" t="n"/>
      <c r="BC22" s="301" t="n"/>
      <c r="BD22" s="302" t="n">
        <v>0.4</v>
      </c>
      <c r="BE22" s="302" t="n">
        <v>3.4e-05</v>
      </c>
      <c r="BF22" s="302">
        <f>-Radwag[[#This Row],[Error]]</f>
        <v/>
      </c>
      <c r="BG22" s="376" t="n"/>
      <c r="BH22" s="376" t="n"/>
    </row>
    <row r="23">
      <c r="AO23" s="302" t="n">
        <v>9</v>
      </c>
      <c r="AP23" s="302" t="n">
        <v>-0.076</v>
      </c>
      <c r="AQ23" s="302" t="n">
        <v>-0.056</v>
      </c>
      <c r="AR23" s="302" t="n">
        <v>-0.076</v>
      </c>
      <c r="AS23" s="302" t="n"/>
      <c r="AT23" s="302" t="n">
        <v>-0.024</v>
      </c>
      <c r="AU23" s="302" t="n">
        <v>-0.104</v>
      </c>
      <c r="AV23" s="302" t="n"/>
      <c r="AW23" s="302" t="n"/>
      <c r="AX23" s="302" t="n"/>
      <c r="AY23" s="302" t="n"/>
      <c r="AZ23" s="302" t="n"/>
      <c r="BA23" s="302" t="n"/>
      <c r="BB23" s="301" t="n"/>
      <c r="BC23" s="301" t="n"/>
      <c r="BD23" s="302" t="n">
        <v>0.5</v>
      </c>
      <c r="BE23" s="302" t="n">
        <v>5e-05</v>
      </c>
      <c r="BF23" s="302">
        <f>-Radwag[[#This Row],[Error]]</f>
        <v/>
      </c>
      <c r="BG23" s="376" t="n"/>
      <c r="BH23" s="376" t="n"/>
    </row>
    <row r="24">
      <c r="AO24" s="302" t="n">
        <v>10</v>
      </c>
      <c r="AP24" s="302" t="n">
        <v>-0.08</v>
      </c>
      <c r="AQ24" s="302" t="n">
        <v>-0.06</v>
      </c>
      <c r="AR24" s="302" t="n">
        <v>-0.08</v>
      </c>
      <c r="AS24" s="302" t="n"/>
      <c r="AT24" s="302" t="n">
        <v>-0.025</v>
      </c>
      <c r="AU24" s="302" t="n">
        <v>-0.12</v>
      </c>
      <c r="AV24" s="302" t="n"/>
      <c r="AW24" s="302" t="n"/>
      <c r="AX24" s="302" t="n"/>
      <c r="AY24" s="302" t="n"/>
      <c r="AZ24" s="302" t="n"/>
      <c r="BA24" s="302" t="n"/>
      <c r="BB24" s="301" t="n"/>
      <c r="BC24" s="301" t="n"/>
      <c r="BD24" s="302" t="n">
        <v>0.6</v>
      </c>
      <c r="BE24" s="302" t="n">
        <v>4e-05</v>
      </c>
      <c r="BF24" s="302">
        <f>-Radwag[[#This Row],[Error]]</f>
        <v/>
      </c>
      <c r="BG24" s="376" t="n"/>
      <c r="BH24" s="376" t="n"/>
    </row>
    <row r="25">
      <c r="AO25" s="302" t="n">
        <v>11</v>
      </c>
      <c r="AP25" s="302" t="n"/>
      <c r="AQ25" s="302" t="n"/>
      <c r="AR25" s="302" t="n"/>
      <c r="AS25" s="302" t="n"/>
      <c r="AT25" s="302" t="n">
        <v>-0.026</v>
      </c>
      <c r="AU25" s="302" t="n">
        <v>-0.127</v>
      </c>
      <c r="AV25" s="302" t="n"/>
      <c r="AW25" s="302" t="n"/>
      <c r="AX25" s="302" t="n"/>
      <c r="AY25" s="302" t="n"/>
      <c r="AZ25" s="302" t="n"/>
      <c r="BA25" s="302" t="n"/>
      <c r="BB25" s="301" t="n"/>
      <c r="BC25" s="301" t="n"/>
      <c r="BD25" s="302" t="n">
        <v>0.7</v>
      </c>
      <c r="BE25" s="302" t="n">
        <v>3e-05</v>
      </c>
      <c r="BF25" s="302">
        <f>-Radwag[[#This Row],[Error]]</f>
        <v/>
      </c>
      <c r="BG25" s="376" t="n"/>
      <c r="BH25" s="376" t="n"/>
    </row>
    <row r="26">
      <c r="C26" s="281" t="inlineStr">
        <is>
          <t>Date</t>
        </is>
      </c>
      <c r="D26" s="281" t="inlineStr">
        <is>
          <t>ID</t>
        </is>
      </c>
      <c r="E26" s="281" t="inlineStr">
        <is>
          <t>Volume Dispensed</t>
        </is>
      </c>
      <c r="F26" s="281" t="inlineStr">
        <is>
          <t xml:space="preserve">W1 </t>
        </is>
      </c>
      <c r="G26" s="281" t="inlineStr">
        <is>
          <t>W2</t>
        </is>
      </c>
      <c r="H26" s="281" t="inlineStr">
        <is>
          <t>W2-W1</t>
        </is>
      </c>
      <c r="I26" s="281" t="inlineStr">
        <is>
          <t>Recovery</t>
        </is>
      </c>
      <c r="J26" s="281" t="inlineStr">
        <is>
          <t>Remark</t>
        </is>
      </c>
      <c r="AO26" s="302" t="n">
        <v>12</v>
      </c>
      <c r="AP26" s="302" t="n"/>
      <c r="AQ26" s="302" t="n"/>
      <c r="AR26" s="302" t="n"/>
      <c r="AS26" s="302" t="n"/>
      <c r="AT26" s="302" t="n">
        <v>-0.027</v>
      </c>
      <c r="AU26" s="302" t="n">
        <v>-0.134</v>
      </c>
      <c r="AV26" s="302" t="n"/>
      <c r="AW26" s="302" t="n"/>
      <c r="AX26" s="302" t="n"/>
      <c r="AY26" s="302" t="n"/>
      <c r="AZ26" s="302" t="n"/>
      <c r="BA26" s="302" t="n"/>
      <c r="BB26" s="301" t="n"/>
      <c r="BC26" s="301" t="n"/>
      <c r="BD26" s="302" t="n">
        <v>0.8</v>
      </c>
      <c r="BE26" s="302" t="n">
        <v>2e-05</v>
      </c>
      <c r="BF26" s="302">
        <f>-Radwag[[#This Row],[Error]]</f>
        <v/>
      </c>
      <c r="BG26" s="376" t="n"/>
      <c r="BH26" s="376" t="n"/>
    </row>
    <row r="27">
      <c r="C27" s="296" t="n"/>
      <c r="D27" s="286" t="n"/>
      <c r="E27" s="282" t="n"/>
      <c r="F27" s="369">
        <f>$E$13</f>
        <v/>
      </c>
      <c r="G27" s="776">
        <f>IFERROR(Table7[[W1 ]]+Table7[W2-W1],"")</f>
        <v/>
      </c>
      <c r="H27" s="776">
        <f>IFERROR(HLOOKUP(Table7[ID],Dispenser[],MATCH(Table7[Volume Dispensed],Dispenser[Column1],0),FALSE)+Weight[[#Totals],[Net weight]],"")</f>
        <v/>
      </c>
      <c r="I27" s="285">
        <f>IFERROR(Table7[W2-W1]/Table7[Volume Dispensed],"")</f>
        <v/>
      </c>
      <c r="J27" s="369">
        <f>IFERROR(IF(Table7[Date]="","",IF(OR(Table7[Recovery]&lt;0.9,Table7[Recovery]&gt;1.1),"Rejected","ACC")),"")</f>
        <v/>
      </c>
      <c r="AO27" s="302" t="n">
        <v>13</v>
      </c>
      <c r="AP27" s="302" t="n"/>
      <c r="AQ27" s="302" t="n"/>
      <c r="AR27" s="302" t="n"/>
      <c r="AS27" s="302" t="n"/>
      <c r="AT27" s="302" t="n">
        <v>-0.028</v>
      </c>
      <c r="AU27" s="302" t="n">
        <v>-0.141</v>
      </c>
      <c r="AV27" s="302" t="n"/>
      <c r="AW27" s="302" t="n"/>
      <c r="AX27" s="302" t="n"/>
      <c r="AY27" s="302" t="n"/>
      <c r="AZ27" s="302" t="n"/>
      <c r="BA27" s="302" t="n"/>
      <c r="BB27" s="301" t="n"/>
      <c r="BC27" s="301" t="n"/>
      <c r="BD27" s="302" t="n">
        <v>0.9</v>
      </c>
      <c r="BE27" s="302" t="n">
        <v>1e-05</v>
      </c>
      <c r="BF27" s="302">
        <f>-Radwag[[#This Row],[Error]]</f>
        <v/>
      </c>
      <c r="BG27" s="376" t="n"/>
      <c r="BH27" s="376" t="n"/>
    </row>
    <row r="28">
      <c r="C28" s="284" t="n"/>
      <c r="AO28" s="302" t="n">
        <v>14</v>
      </c>
      <c r="AP28" s="302" t="n"/>
      <c r="AQ28" s="302" t="n"/>
      <c r="AR28" s="302" t="n"/>
      <c r="AS28" s="302" t="n"/>
      <c r="AT28" s="302" t="n">
        <v>-0.029</v>
      </c>
      <c r="AU28" s="302" t="n">
        <v>-0.148</v>
      </c>
      <c r="AV28" s="302" t="n"/>
      <c r="AW28" s="302" t="n"/>
      <c r="AX28" s="302" t="n"/>
      <c r="AY28" s="302" t="n"/>
      <c r="AZ28" s="302" t="n"/>
      <c r="BA28" s="302" t="n"/>
      <c r="BB28" s="301" t="n"/>
      <c r="BC28" s="301" t="n"/>
      <c r="BD28" s="302" t="n">
        <v>1</v>
      </c>
      <c r="BE28" s="302" t="n">
        <v>0</v>
      </c>
      <c r="BF28" s="302">
        <f>-Radwag[[#This Row],[Error]]</f>
        <v/>
      </c>
      <c r="BG28" s="376" t="n"/>
      <c r="BH28" s="376" t="n"/>
    </row>
    <row r="29">
      <c r="C29" s="284" t="n"/>
      <c r="AO29" s="302" t="n">
        <v>15</v>
      </c>
      <c r="AP29" s="302" t="n"/>
      <c r="AQ29" s="302" t="n"/>
      <c r="AR29" s="302" t="n"/>
      <c r="AS29" s="302" t="n"/>
      <c r="AT29" s="302" t="n">
        <v>-0.03</v>
      </c>
      <c r="AU29" s="302" t="n">
        <v>-0.155</v>
      </c>
      <c r="AV29" s="302" t="n"/>
      <c r="AW29" s="302" t="n"/>
      <c r="AX29" s="302" t="n"/>
      <c r="AY29" s="302" t="n"/>
      <c r="AZ29" s="302" t="n"/>
      <c r="BA29" s="302" t="n"/>
      <c r="BB29" s="301" t="n"/>
      <c r="BC29" s="301" t="n"/>
      <c r="BD29" s="302" t="n">
        <v>2</v>
      </c>
      <c r="BE29" s="302" t="n">
        <v>0</v>
      </c>
      <c r="BF29" s="302">
        <f>-Radwag[[#This Row],[Error]]</f>
        <v/>
      </c>
      <c r="BG29" s="376" t="n"/>
      <c r="BH29" s="376" t="n"/>
    </row>
    <row r="30">
      <c r="D30" s="280" t="n"/>
      <c r="AO30" s="302" t="n">
        <v>16</v>
      </c>
      <c r="AP30" s="302" t="n"/>
      <c r="AQ30" s="302" t="n"/>
      <c r="AR30" s="302" t="n"/>
      <c r="AS30" s="302" t="n"/>
      <c r="AT30" s="302" t="n">
        <v>-0.031</v>
      </c>
      <c r="AU30" s="302" t="n">
        <v>-0.162</v>
      </c>
      <c r="AV30" s="302" t="n"/>
      <c r="AW30" s="302" t="n"/>
      <c r="AX30" s="302" t="n"/>
      <c r="AY30" s="302" t="n"/>
      <c r="AZ30" s="302" t="n"/>
      <c r="BA30" s="302" t="n"/>
      <c r="BB30" s="301" t="n"/>
      <c r="BC30" s="301" t="n"/>
      <c r="BD30" s="302" t="n">
        <v>3</v>
      </c>
      <c r="BE30" s="302" t="n">
        <v>3.4e-05</v>
      </c>
      <c r="BF30" s="302">
        <f>-Radwag[[#This Row],[Error]]</f>
        <v/>
      </c>
      <c r="BG30" s="376" t="n"/>
      <c r="BH30" s="376" t="n"/>
    </row>
    <row r="31">
      <c r="AO31" s="302" t="n">
        <v>17</v>
      </c>
      <c r="AP31" s="302" t="n"/>
      <c r="AQ31" s="302" t="n"/>
      <c r="AR31" s="302" t="n"/>
      <c r="AS31" s="302" t="n"/>
      <c r="AT31" s="302" t="n">
        <v>-0.032</v>
      </c>
      <c r="AU31" s="302" t="n">
        <v>-0.169</v>
      </c>
      <c r="AV31" s="302" t="n"/>
      <c r="AW31" s="302" t="n"/>
      <c r="AX31" s="302" t="n"/>
      <c r="AY31" s="302" t="n"/>
      <c r="AZ31" s="302" t="n"/>
      <c r="BA31" s="302" t="n"/>
      <c r="BB31" s="301" t="n"/>
      <c r="BC31" s="301" t="n"/>
      <c r="BD31" s="302" t="n">
        <v>4</v>
      </c>
      <c r="BE31" s="302" t="n">
        <v>6.7e-05</v>
      </c>
      <c r="BF31" s="302">
        <f>-Radwag[[#This Row],[Error]]</f>
        <v/>
      </c>
      <c r="BG31" s="376" t="n"/>
      <c r="BH31" s="376" t="n"/>
    </row>
    <row r="32">
      <c r="AO32" s="302" t="n">
        <v>18</v>
      </c>
      <c r="AP32" s="302" t="n"/>
      <c r="AQ32" s="302" t="n"/>
      <c r="AR32" s="302" t="n"/>
      <c r="AS32" s="302" t="n"/>
      <c r="AT32" s="302" t="n">
        <v>-0.033</v>
      </c>
      <c r="AU32" s="302" t="n">
        <v>-0.176</v>
      </c>
      <c r="AV32" s="302" t="n"/>
      <c r="AW32" s="302" t="n"/>
      <c r="AX32" s="302" t="n"/>
      <c r="AY32" s="302" t="n"/>
      <c r="AZ32" s="302" t="n"/>
      <c r="BA32" s="302" t="n"/>
      <c r="BB32" s="301" t="n"/>
      <c r="BC32" s="301" t="n"/>
      <c r="BD32" s="302" t="n">
        <v>5</v>
      </c>
      <c r="BE32" s="302" t="n">
        <v>0.0001</v>
      </c>
      <c r="BF32" s="302">
        <f>-Radwag[[#This Row],[Error]]</f>
        <v/>
      </c>
      <c r="BG32" s="376" t="n"/>
      <c r="BH32" s="376" t="n"/>
    </row>
    <row r="33">
      <c r="AO33" s="302" t="n">
        <v>19</v>
      </c>
      <c r="AP33" s="302" t="n"/>
      <c r="AQ33" s="302" t="n"/>
      <c r="AR33" s="302" t="n"/>
      <c r="AS33" s="302" t="n"/>
      <c r="AT33" s="302" t="n">
        <v>-0.034</v>
      </c>
      <c r="AU33" s="302" t="n">
        <v>-0.183</v>
      </c>
      <c r="AV33" s="302" t="n"/>
      <c r="AW33" s="302" t="n"/>
      <c r="AX33" s="302" t="n"/>
      <c r="AY33" s="302" t="n"/>
      <c r="AZ33" s="302" t="n"/>
      <c r="BA33" s="302" t="n"/>
      <c r="BB33" s="301" t="n"/>
      <c r="BC33" s="301" t="n"/>
      <c r="BD33" s="302" t="n">
        <v>6</v>
      </c>
      <c r="BE33" s="302" t="n">
        <v>0.0001</v>
      </c>
      <c r="BF33" s="302">
        <f>-Radwag[[#This Row],[Error]]</f>
        <v/>
      </c>
      <c r="BG33" s="376" t="n"/>
      <c r="BH33" s="376" t="n"/>
    </row>
    <row r="34">
      <c r="AO34" s="302" t="n">
        <v>20</v>
      </c>
      <c r="AP34" s="302" t="n"/>
      <c r="AQ34" s="302" t="n"/>
      <c r="AR34" s="302" t="n"/>
      <c r="AS34" s="302" t="n"/>
      <c r="AT34" s="302" t="n">
        <v>-0.035</v>
      </c>
      <c r="AU34" s="302" t="n">
        <v>-0.19</v>
      </c>
      <c r="AV34" s="302" t="n"/>
      <c r="AW34" s="302" t="n"/>
      <c r="AX34" s="302" t="n"/>
      <c r="AY34" s="302" t="n"/>
      <c r="AZ34" s="302" t="n"/>
      <c r="BA34" s="302" t="n"/>
      <c r="BB34" s="301" t="n"/>
      <c r="BC34" s="301" t="n"/>
      <c r="BD34" s="302" t="n">
        <v>7</v>
      </c>
      <c r="BE34" s="302" t="n">
        <v>0.0001</v>
      </c>
      <c r="BF34" s="302">
        <f>-Radwag[[#This Row],[Error]]</f>
        <v/>
      </c>
      <c r="BG34" s="376" t="n"/>
      <c r="BH34" s="376" t="n"/>
    </row>
    <row r="35">
      <c r="AO35" s="302" t="n">
        <v>21</v>
      </c>
      <c r="AP35" s="302" t="n"/>
      <c r="AQ35" s="302" t="n"/>
      <c r="AR35" s="302" t="n"/>
      <c r="AS35" s="302" t="n"/>
      <c r="AT35" s="302" t="n">
        <v>-0.036</v>
      </c>
      <c r="AU35" s="302" t="n"/>
      <c r="AV35" s="302" t="n"/>
      <c r="AW35" s="302" t="n"/>
      <c r="AX35" s="302" t="n"/>
      <c r="AY35" s="302" t="n"/>
      <c r="AZ35" s="302" t="n"/>
      <c r="BA35" s="302" t="n"/>
      <c r="BB35" s="301" t="n"/>
      <c r="BC35" s="301" t="n"/>
      <c r="BD35" s="302" t="n">
        <v>8</v>
      </c>
      <c r="BE35" s="302" t="n">
        <v>0.0001</v>
      </c>
      <c r="BF35" s="302">
        <f>-Radwag[[#This Row],[Error]]</f>
        <v/>
      </c>
      <c r="BG35" s="376" t="n"/>
      <c r="BH35" s="376" t="n"/>
    </row>
    <row r="36">
      <c r="AO36" s="302" t="n">
        <v>22</v>
      </c>
      <c r="AP36" s="302" t="n"/>
      <c r="AQ36" s="302" t="n"/>
      <c r="AR36" s="302" t="n"/>
      <c r="AS36" s="302" t="n"/>
      <c r="AT36" s="302" t="n">
        <v>-0.037</v>
      </c>
      <c r="AU36" s="302" t="n"/>
      <c r="AV36" s="302" t="n"/>
      <c r="AW36" s="302" t="n"/>
      <c r="AX36" s="302" t="n"/>
      <c r="AY36" s="302" t="n"/>
      <c r="AZ36" s="302" t="n"/>
      <c r="BA36" s="302" t="n"/>
      <c r="BB36" s="301" t="n"/>
      <c r="BC36" s="301" t="n"/>
      <c r="BD36" s="302" t="n">
        <v>9</v>
      </c>
      <c r="BE36" s="302" t="n">
        <v>0.0001</v>
      </c>
      <c r="BF36" s="302">
        <f>-Radwag[[#This Row],[Error]]</f>
        <v/>
      </c>
      <c r="BG36" s="376" t="n"/>
      <c r="BH36" s="376" t="n"/>
    </row>
    <row r="37">
      <c r="AO37" s="302" t="n">
        <v>23</v>
      </c>
      <c r="AP37" s="302" t="n"/>
      <c r="AQ37" s="302" t="n"/>
      <c r="AR37" s="302" t="n"/>
      <c r="AS37" s="302" t="n"/>
      <c r="AT37" s="302" t="n">
        <v>-0.038</v>
      </c>
      <c r="AU37" s="302" t="n"/>
      <c r="AV37" s="302" t="n"/>
      <c r="AW37" s="302" t="n"/>
      <c r="AX37" s="302" t="n"/>
      <c r="AY37" s="302" t="n"/>
      <c r="AZ37" s="302" t="n"/>
      <c r="BA37" s="302" t="n"/>
      <c r="BB37" s="301" t="n"/>
      <c r="BC37" s="301" t="n"/>
      <c r="BD37" s="302" t="n">
        <v>10</v>
      </c>
      <c r="BE37" s="302" t="n">
        <v>0.0001</v>
      </c>
      <c r="BF37" s="302">
        <f>-Radwag[[#This Row],[Error]]</f>
        <v/>
      </c>
      <c r="BG37" s="376" t="n"/>
      <c r="BH37" s="376" t="n"/>
    </row>
    <row r="38">
      <c r="AO38" s="302" t="n">
        <v>24</v>
      </c>
      <c r="AP38" s="302" t="n"/>
      <c r="AQ38" s="302" t="n"/>
      <c r="AR38" s="302" t="n"/>
      <c r="AS38" s="302" t="n"/>
      <c r="AT38" s="302" t="n">
        <v>-0.039</v>
      </c>
      <c r="AU38" s="302" t="n"/>
      <c r="AV38" s="302" t="n"/>
      <c r="AW38" s="302" t="n"/>
      <c r="AX38" s="302" t="n"/>
      <c r="AY38" s="302" t="n"/>
      <c r="AZ38" s="302" t="n"/>
      <c r="BA38" s="302" t="n"/>
      <c r="BB38" s="301" t="n"/>
      <c r="BC38" s="301" t="n"/>
      <c r="BD38" s="302" t="n">
        <v>11</v>
      </c>
      <c r="BE38" s="302" t="n">
        <v>0.0001</v>
      </c>
      <c r="BF38" s="302">
        <f>-Radwag[[#This Row],[Error]]</f>
        <v/>
      </c>
      <c r="BG38" s="376" t="n"/>
      <c r="BH38" s="376" t="n"/>
    </row>
    <row r="39">
      <c r="J39" s="280" t="n"/>
      <c r="AO39" s="302" t="n">
        <v>25</v>
      </c>
      <c r="AP39" s="302" t="n"/>
      <c r="AQ39" s="302" t="n"/>
      <c r="AR39" s="302" t="n"/>
      <c r="AS39" s="302" t="n"/>
      <c r="AT39" s="302" t="n">
        <v>-0.04</v>
      </c>
      <c r="AU39" s="302" t="n"/>
      <c r="AV39" s="302" t="n"/>
      <c r="AW39" s="302" t="n"/>
      <c r="AX39" s="302" t="n"/>
      <c r="AY39" s="302" t="n"/>
      <c r="AZ39" s="302" t="n"/>
      <c r="BA39" s="302" t="n"/>
      <c r="BB39" s="301" t="n"/>
      <c r="BC39" s="301" t="n"/>
      <c r="BD39" s="302" t="n">
        <v>12</v>
      </c>
      <c r="BE39" s="302" t="n">
        <v>0.0001</v>
      </c>
      <c r="BF39" s="302">
        <f>-Radwag[[#This Row],[Error]]</f>
        <v/>
      </c>
      <c r="BG39" s="376" t="n"/>
      <c r="BH39" s="376" t="n"/>
    </row>
    <row r="40">
      <c r="AO40" s="302" t="n">
        <v>26</v>
      </c>
      <c r="AP40" s="302" t="n"/>
      <c r="AQ40" s="302" t="n"/>
      <c r="AR40" s="302" t="n"/>
      <c r="AS40" s="302" t="n"/>
      <c r="AT40" s="302" t="n">
        <v>-0.0412</v>
      </c>
      <c r="AU40" s="302" t="n"/>
      <c r="AV40" s="302" t="n"/>
      <c r="AW40" s="302" t="n"/>
      <c r="AX40" s="302" t="n"/>
      <c r="AY40" s="302" t="n"/>
      <c r="AZ40" s="302" t="n"/>
      <c r="BA40" s="302" t="n"/>
      <c r="BB40" s="301" t="n"/>
      <c r="BC40" s="301" t="n"/>
      <c r="BD40" s="302" t="n">
        <v>13</v>
      </c>
      <c r="BE40" s="302" t="n">
        <v>0.0001</v>
      </c>
      <c r="BF40" s="302">
        <f>-Radwag[[#This Row],[Error]]</f>
        <v/>
      </c>
      <c r="BG40" s="376" t="n"/>
      <c r="BH40" s="376" t="n"/>
    </row>
    <row r="41">
      <c r="AO41" s="302" t="n">
        <v>27</v>
      </c>
      <c r="AP41" s="302" t="n"/>
      <c r="AQ41" s="302" t="n"/>
      <c r="AR41" s="302" t="n"/>
      <c r="AS41" s="302" t="n"/>
      <c r="AT41" s="302" t="n">
        <v>-0.0424</v>
      </c>
      <c r="AU41" s="302" t="n"/>
      <c r="AV41" s="302" t="n"/>
      <c r="AW41" s="302" t="n"/>
      <c r="AX41" s="302" t="n"/>
      <c r="AY41" s="302" t="n"/>
      <c r="AZ41" s="302" t="n"/>
      <c r="BA41" s="302" t="n"/>
      <c r="BB41" s="301" t="n"/>
      <c r="BC41" s="301" t="n"/>
      <c r="BD41" s="302" t="n">
        <v>14</v>
      </c>
      <c r="BE41" s="302" t="n">
        <v>0.0001</v>
      </c>
      <c r="BF41" s="302">
        <f>-Radwag[[#This Row],[Error]]</f>
        <v/>
      </c>
      <c r="BG41" s="376" t="n"/>
      <c r="BH41" s="376" t="n"/>
    </row>
    <row r="42">
      <c r="AO42" s="302" t="n">
        <v>28</v>
      </c>
      <c r="AP42" s="302" t="n"/>
      <c r="AQ42" s="302" t="n"/>
      <c r="AR42" s="302" t="n"/>
      <c r="AS42" s="302" t="n"/>
      <c r="AT42" s="302" t="n">
        <v>-0.0436</v>
      </c>
      <c r="AU42" s="302" t="n"/>
      <c r="AV42" s="302" t="n"/>
      <c r="AW42" s="302" t="n"/>
      <c r="AX42" s="302" t="n"/>
      <c r="AY42" s="302" t="n"/>
      <c r="AZ42" s="302" t="n"/>
      <c r="BA42" s="302" t="n"/>
      <c r="BB42" s="301" t="n"/>
      <c r="BC42" s="301" t="n"/>
      <c r="BD42" s="302" t="n">
        <v>15</v>
      </c>
      <c r="BE42" s="302" t="n">
        <v>0.0001</v>
      </c>
      <c r="BF42" s="302">
        <f>-Radwag[[#This Row],[Error]]</f>
        <v/>
      </c>
      <c r="BG42" s="376" t="n"/>
      <c r="BH42" s="376" t="n"/>
    </row>
    <row r="43">
      <c r="AO43" s="302" t="n">
        <v>29</v>
      </c>
      <c r="AP43" s="302" t="n"/>
      <c r="AQ43" s="302" t="n"/>
      <c r="AR43" s="302" t="n"/>
      <c r="AS43" s="302" t="n"/>
      <c r="AT43" s="302" t="n">
        <v>-0.0448</v>
      </c>
      <c r="AU43" s="302" t="n"/>
      <c r="AV43" s="302" t="n"/>
      <c r="AW43" s="302" t="n"/>
      <c r="AX43" s="302" t="n"/>
      <c r="AY43" s="302" t="n"/>
      <c r="AZ43" s="302" t="n"/>
      <c r="BA43" s="302" t="n"/>
      <c r="BB43" s="301" t="n"/>
      <c r="BC43" s="301" t="n"/>
      <c r="BD43" s="302" t="n">
        <v>16</v>
      </c>
      <c r="BE43" s="302" t="n">
        <v>0.0001</v>
      </c>
      <c r="BF43" s="302">
        <f>-Radwag[[#This Row],[Error]]</f>
        <v/>
      </c>
      <c r="BG43" s="376" t="n"/>
      <c r="BH43" s="376" t="n"/>
    </row>
    <row r="44">
      <c r="AO44" s="302" t="n">
        <v>30</v>
      </c>
      <c r="AP44" s="302" t="n"/>
      <c r="AQ44" s="302" t="n"/>
      <c r="AR44" s="302" t="n"/>
      <c r="AS44" s="302" t="n"/>
      <c r="AT44" s="302" t="n">
        <v>-0.046</v>
      </c>
      <c r="AU44" s="302" t="n"/>
      <c r="AV44" s="302" t="n"/>
      <c r="AW44" s="302" t="n"/>
      <c r="AX44" s="302" t="n"/>
      <c r="AY44" s="302" t="n"/>
      <c r="AZ44" s="302" t="n"/>
      <c r="BA44" s="302" t="n"/>
      <c r="BB44" s="301" t="n"/>
      <c r="BC44" s="301" t="n"/>
      <c r="BD44" s="302" t="n">
        <v>17</v>
      </c>
      <c r="BE44" s="302" t="n">
        <v>0.0001</v>
      </c>
      <c r="BF44" s="302">
        <f>-Radwag[[#This Row],[Error]]</f>
        <v/>
      </c>
      <c r="BG44" s="376" t="n"/>
      <c r="BH44" s="376" t="n"/>
    </row>
    <row r="45">
      <c r="AO45" s="302" t="n">
        <v>31</v>
      </c>
      <c r="AP45" s="302" t="n"/>
      <c r="AQ45" s="302" t="n"/>
      <c r="AR45" s="302" t="n"/>
      <c r="AS45" s="302" t="n"/>
      <c r="AT45" s="302" t="n">
        <v>-0.0472</v>
      </c>
      <c r="AU45" s="302" t="n"/>
      <c r="AV45" s="302" t="n"/>
      <c r="AW45" s="302" t="n"/>
      <c r="AX45" s="302" t="n"/>
      <c r="AY45" s="302" t="n"/>
      <c r="AZ45" s="302" t="n"/>
      <c r="BA45" s="302" t="n"/>
      <c r="BB45" s="301" t="n"/>
      <c r="BC45" s="301" t="n"/>
      <c r="BD45" s="302" t="n">
        <v>18</v>
      </c>
      <c r="BE45" s="302" t="n">
        <v>0.0001</v>
      </c>
      <c r="BF45" s="302">
        <f>-Radwag[[#This Row],[Error]]</f>
        <v/>
      </c>
      <c r="BG45" s="376" t="n"/>
      <c r="BH45" s="376" t="n"/>
    </row>
    <row r="46">
      <c r="AO46" s="302" t="n">
        <v>32</v>
      </c>
      <c r="AP46" s="302" t="n"/>
      <c r="AQ46" s="302" t="n"/>
      <c r="AR46" s="302" t="n"/>
      <c r="AS46" s="302" t="n"/>
      <c r="AT46" s="302" t="n">
        <v>-0.0484</v>
      </c>
      <c r="AU46" s="302" t="n"/>
      <c r="AV46" s="302" t="n"/>
      <c r="AW46" s="302" t="n"/>
      <c r="AX46" s="302" t="n"/>
      <c r="AY46" s="302" t="n"/>
      <c r="AZ46" s="302" t="n"/>
      <c r="BA46" s="302" t="n"/>
      <c r="BB46" s="301" t="n"/>
      <c r="BC46" s="301" t="n"/>
      <c r="BD46" s="302" t="n">
        <v>19</v>
      </c>
      <c r="BE46" s="302" t="n">
        <v>0.0001</v>
      </c>
      <c r="BF46" s="302">
        <f>-Radwag[[#This Row],[Error]]</f>
        <v/>
      </c>
      <c r="BG46" s="376" t="n"/>
      <c r="BH46" s="376" t="n"/>
    </row>
    <row r="47">
      <c r="AO47" s="302" t="n">
        <v>33</v>
      </c>
      <c r="AP47" s="302" t="n"/>
      <c r="AQ47" s="302" t="n"/>
      <c r="AR47" s="302" t="n"/>
      <c r="AS47" s="302" t="n"/>
      <c r="AT47" s="302" t="n">
        <v>-0.0496</v>
      </c>
      <c r="AU47" s="302" t="n"/>
      <c r="AV47" s="302" t="n"/>
      <c r="AW47" s="302" t="n"/>
      <c r="AX47" s="302" t="n"/>
      <c r="AY47" s="302" t="n"/>
      <c r="AZ47" s="302" t="n"/>
      <c r="BA47" s="302" t="n"/>
      <c r="BB47" s="301" t="n"/>
      <c r="BC47" s="301" t="n"/>
      <c r="BD47" s="302" t="n">
        <v>20</v>
      </c>
      <c r="BE47" s="302" t="n">
        <v>0.0001</v>
      </c>
      <c r="BF47" s="302">
        <f>-Radwag[[#This Row],[Error]]</f>
        <v/>
      </c>
      <c r="BG47" s="376" t="n"/>
      <c r="BH47" s="376" t="n"/>
    </row>
    <row r="48">
      <c r="AO48" s="302" t="n">
        <v>34</v>
      </c>
      <c r="AP48" s="302" t="n"/>
      <c r="AQ48" s="302" t="n"/>
      <c r="AR48" s="302" t="n"/>
      <c r="AS48" s="302" t="n"/>
      <c r="AT48" s="302" t="n">
        <v>-0.0508</v>
      </c>
      <c r="AU48" s="302" t="n"/>
      <c r="AV48" s="302" t="n"/>
      <c r="AW48" s="302" t="n"/>
      <c r="AX48" s="302" t="n"/>
      <c r="AY48" s="302" t="n"/>
      <c r="AZ48" s="302" t="n"/>
      <c r="BA48" s="302" t="n"/>
      <c r="BB48" s="301" t="n"/>
      <c r="BC48" s="301" t="n"/>
      <c r="BD48" s="302" t="n">
        <v>21</v>
      </c>
      <c r="BE48" s="302" t="n">
        <v>0.0001033</v>
      </c>
      <c r="BF48" s="302">
        <f>-Radwag[[#This Row],[Error]]</f>
        <v/>
      </c>
      <c r="BG48" s="376" t="n"/>
      <c r="BH48" s="376" t="n"/>
    </row>
    <row r="49">
      <c r="AO49" s="302" t="n">
        <v>35</v>
      </c>
      <c r="AP49" s="302" t="n"/>
      <c r="AQ49" s="302" t="n"/>
      <c r="AR49" s="302" t="n"/>
      <c r="AS49" s="302" t="n"/>
      <c r="AT49" s="302" t="n">
        <v>-0.052</v>
      </c>
      <c r="AU49" s="302" t="n"/>
      <c r="AV49" s="302" t="n"/>
      <c r="AW49" s="302" t="n"/>
      <c r="AX49" s="302" t="n"/>
      <c r="AY49" s="302" t="n"/>
      <c r="AZ49" s="302" t="n"/>
      <c r="BA49" s="302" t="n"/>
      <c r="BB49" s="301" t="n"/>
      <c r="BC49" s="301" t="n"/>
      <c r="BD49" s="302" t="n">
        <v>22</v>
      </c>
      <c r="BE49" s="302" t="n">
        <v>0.0001066</v>
      </c>
      <c r="BF49" s="302">
        <f>-Radwag[[#This Row],[Error]]</f>
        <v/>
      </c>
      <c r="BG49" s="376" t="n"/>
      <c r="BH49" s="376" t="n"/>
    </row>
    <row r="50">
      <c r="AO50" s="302" t="n">
        <v>36</v>
      </c>
      <c r="AP50" s="302" t="n"/>
      <c r="AQ50" s="302" t="n"/>
      <c r="AR50" s="302" t="n"/>
      <c r="AS50" s="302" t="n"/>
      <c r="AT50" s="302" t="n">
        <v>-0.0532</v>
      </c>
      <c r="AU50" s="302" t="n"/>
      <c r="AV50" s="302" t="n"/>
      <c r="AW50" s="302" t="n"/>
      <c r="AX50" s="302" t="n"/>
      <c r="AY50" s="302" t="n"/>
      <c r="AZ50" s="302" t="n"/>
      <c r="BA50" s="302" t="n"/>
      <c r="BB50" s="301" t="n"/>
      <c r="BC50" s="301" t="n"/>
      <c r="BD50" s="302" t="n">
        <v>23</v>
      </c>
      <c r="BE50" s="302" t="n">
        <v>0.0001099</v>
      </c>
      <c r="BF50" s="302">
        <f>-Radwag[[#This Row],[Error]]</f>
        <v/>
      </c>
      <c r="BG50" s="376" t="n"/>
      <c r="BH50" s="376" t="n"/>
    </row>
    <row r="51">
      <c r="AO51" s="302" t="n">
        <v>37</v>
      </c>
      <c r="AP51" s="302" t="n"/>
      <c r="AQ51" s="302" t="n"/>
      <c r="AR51" s="302" t="n"/>
      <c r="AS51" s="302" t="n"/>
      <c r="AT51" s="302" t="n">
        <v>-0.0544</v>
      </c>
      <c r="AU51" s="302" t="n"/>
      <c r="AV51" s="302" t="n"/>
      <c r="AW51" s="302" t="n"/>
      <c r="AX51" s="302" t="n"/>
      <c r="AY51" s="302" t="n"/>
      <c r="AZ51" s="302" t="n"/>
      <c r="BA51" s="302" t="n"/>
      <c r="BB51" s="301" t="n"/>
      <c r="BC51" s="301" t="n"/>
      <c r="BD51" s="302" t="n">
        <v>24</v>
      </c>
      <c r="BE51" s="302" t="n">
        <v>0.0001132</v>
      </c>
      <c r="BF51" s="302">
        <f>-Radwag[[#This Row],[Error]]</f>
        <v/>
      </c>
      <c r="BG51" s="376" t="n"/>
      <c r="BH51" s="376" t="n"/>
    </row>
    <row r="52">
      <c r="AO52" s="302" t="n">
        <v>38</v>
      </c>
      <c r="AP52" s="302" t="n"/>
      <c r="AQ52" s="302" t="n"/>
      <c r="AR52" s="302" t="n"/>
      <c r="AS52" s="302" t="n"/>
      <c r="AT52" s="302" t="n">
        <v>-0.0556</v>
      </c>
      <c r="AU52" s="302" t="n"/>
      <c r="AV52" s="302" t="n"/>
      <c r="AW52" s="302" t="n"/>
      <c r="AX52" s="302" t="n"/>
      <c r="AY52" s="302" t="n"/>
      <c r="AZ52" s="302" t="n"/>
      <c r="BA52" s="302" t="n"/>
      <c r="BB52" s="301" t="n"/>
      <c r="BC52" s="301" t="n"/>
      <c r="BD52" s="302" t="n">
        <v>25</v>
      </c>
      <c r="BE52" s="302" t="n">
        <v>0.0001165</v>
      </c>
      <c r="BF52" s="302">
        <f>-Radwag[[#This Row],[Error]]</f>
        <v/>
      </c>
      <c r="BG52" s="376" t="n"/>
      <c r="BH52" s="376" t="n"/>
    </row>
    <row r="53">
      <c r="AO53" s="302" t="n">
        <v>39</v>
      </c>
      <c r="AP53" s="302" t="n"/>
      <c r="AQ53" s="302" t="n"/>
      <c r="AR53" s="302" t="n"/>
      <c r="AS53" s="302" t="n"/>
      <c r="AT53" s="302" t="n">
        <v>-0.0568</v>
      </c>
      <c r="AU53" s="302" t="n"/>
      <c r="AV53" s="302" t="n"/>
      <c r="AW53" s="302" t="n"/>
      <c r="AX53" s="302" t="n"/>
      <c r="AY53" s="302" t="n"/>
      <c r="AZ53" s="302" t="n"/>
      <c r="BA53" s="302" t="n"/>
      <c r="BB53" s="301" t="n"/>
      <c r="BC53" s="301" t="n"/>
      <c r="BD53" s="302" t="n">
        <v>26</v>
      </c>
      <c r="BE53" s="302" t="n">
        <v>0.0001198</v>
      </c>
      <c r="BF53" s="302">
        <f>-Radwag[[#This Row],[Error]]</f>
        <v/>
      </c>
      <c r="BG53" s="376" t="n"/>
      <c r="BH53" s="376" t="n"/>
    </row>
    <row r="54">
      <c r="AO54" s="302" t="n">
        <v>40</v>
      </c>
      <c r="AP54" s="302" t="n"/>
      <c r="AQ54" s="302" t="n"/>
      <c r="AR54" s="302" t="n"/>
      <c r="AS54" s="302" t="n"/>
      <c r="AT54" s="302" t="n">
        <v>-0.058</v>
      </c>
      <c r="AU54" s="302" t="n"/>
      <c r="AV54" s="302" t="n"/>
      <c r="AW54" s="302" t="n"/>
      <c r="AX54" s="302" t="n"/>
      <c r="AY54" s="302" t="n"/>
      <c r="AZ54" s="302" t="n"/>
      <c r="BA54" s="302" t="n"/>
      <c r="BB54" s="301" t="n"/>
      <c r="BC54" s="301" t="n"/>
      <c r="BD54" s="302" t="n">
        <v>27</v>
      </c>
      <c r="BE54" s="302" t="n">
        <v>0.0001231</v>
      </c>
      <c r="BF54" s="302">
        <f>-Radwag[[#This Row],[Error]]</f>
        <v/>
      </c>
      <c r="BG54" s="376" t="n"/>
      <c r="BH54" s="376" t="n"/>
    </row>
    <row r="55">
      <c r="AO55" s="302" t="n">
        <v>41</v>
      </c>
      <c r="AP55" s="302" t="n"/>
      <c r="AQ55" s="302" t="n"/>
      <c r="AR55" s="302" t="n"/>
      <c r="AS55" s="302" t="n"/>
      <c r="AT55" s="302" t="n">
        <v>-0.0592</v>
      </c>
      <c r="AU55" s="302" t="n"/>
      <c r="AV55" s="302" t="n"/>
      <c r="AW55" s="302" t="n"/>
      <c r="AX55" s="302" t="n"/>
      <c r="AY55" s="302" t="n"/>
      <c r="AZ55" s="302" t="n"/>
      <c r="BA55" s="302" t="n"/>
      <c r="BB55" s="301" t="n"/>
      <c r="BC55" s="301" t="n"/>
      <c r="BD55" s="302" t="n">
        <v>28</v>
      </c>
      <c r="BE55" s="302" t="n">
        <v>0.0001264</v>
      </c>
      <c r="BF55" s="302">
        <f>-Radwag[[#This Row],[Error]]</f>
        <v/>
      </c>
      <c r="BG55" s="376" t="n"/>
      <c r="BH55" s="376" t="n"/>
    </row>
    <row r="56">
      <c r="AO56" s="302" t="n">
        <v>42</v>
      </c>
      <c r="AP56" s="302" t="n"/>
      <c r="AQ56" s="302" t="n"/>
      <c r="AR56" s="302" t="n"/>
      <c r="AS56" s="302" t="n"/>
      <c r="AT56" s="302" t="n">
        <v>-0.0604</v>
      </c>
      <c r="AU56" s="302" t="n"/>
      <c r="AV56" s="302" t="n"/>
      <c r="AW56" s="302" t="n"/>
      <c r="AX56" s="302" t="n"/>
      <c r="AY56" s="302" t="n"/>
      <c r="AZ56" s="302" t="n"/>
      <c r="BA56" s="302" t="n"/>
      <c r="BB56" s="301" t="n"/>
      <c r="BC56" s="301" t="n"/>
      <c r="BD56" s="302" t="n">
        <v>29</v>
      </c>
      <c r="BE56" s="302" t="n">
        <v>0.0001297</v>
      </c>
      <c r="BF56" s="302">
        <f>-Radwag[[#This Row],[Error]]</f>
        <v/>
      </c>
      <c r="BG56" s="376" t="n"/>
      <c r="BH56" s="376" t="n"/>
    </row>
    <row r="57">
      <c r="AO57" s="302" t="n">
        <v>43</v>
      </c>
      <c r="AP57" s="302" t="n"/>
      <c r="AQ57" s="302" t="n"/>
      <c r="AR57" s="302" t="n"/>
      <c r="AS57" s="302" t="n"/>
      <c r="AT57" s="302" t="n">
        <v>-0.0616</v>
      </c>
      <c r="AU57" s="302" t="n"/>
      <c r="AV57" s="302" t="n"/>
      <c r="AW57" s="302" t="n"/>
      <c r="AX57" s="302" t="n"/>
      <c r="AY57" s="302" t="n"/>
      <c r="AZ57" s="302" t="n"/>
      <c r="BA57" s="302" t="n"/>
      <c r="BB57" s="301" t="n"/>
      <c r="BC57" s="301" t="n"/>
      <c r="BD57" s="302" t="n">
        <v>30</v>
      </c>
      <c r="BE57" s="302" t="n">
        <v>0.000133</v>
      </c>
      <c r="BF57" s="302">
        <f>-Radwag[[#This Row],[Error]]</f>
        <v/>
      </c>
      <c r="BG57" s="376" t="n"/>
      <c r="BH57" s="376" t="n"/>
    </row>
    <row r="58">
      <c r="AO58" s="302" t="n">
        <v>44</v>
      </c>
      <c r="AP58" s="302" t="n"/>
      <c r="AQ58" s="302" t="n"/>
      <c r="AR58" s="302" t="n"/>
      <c r="AS58" s="302" t="n"/>
      <c r="AT58" s="302" t="n">
        <v>-0.06279999999999999</v>
      </c>
      <c r="AU58" s="302" t="n"/>
      <c r="AV58" s="302" t="n"/>
      <c r="AW58" s="302" t="n"/>
      <c r="AX58" s="302" t="n"/>
      <c r="AY58" s="302" t="n"/>
      <c r="AZ58" s="302" t="n"/>
      <c r="BA58" s="302" t="n"/>
      <c r="BB58" s="301" t="n"/>
      <c r="BC58" s="301" t="n"/>
      <c r="BD58" s="302" t="n">
        <v>31</v>
      </c>
      <c r="BE58" s="302" t="n">
        <v>0.0001363</v>
      </c>
      <c r="BF58" s="302">
        <f>-Radwag[[#This Row],[Error]]</f>
        <v/>
      </c>
      <c r="BG58" s="376" t="n"/>
      <c r="BH58" s="376" t="n"/>
    </row>
    <row r="59">
      <c r="AO59" s="302" t="n">
        <v>45</v>
      </c>
      <c r="AP59" s="302" t="n"/>
      <c r="AQ59" s="302" t="n"/>
      <c r="AR59" s="302" t="n"/>
      <c r="AS59" s="302" t="n"/>
      <c r="AT59" s="302" t="n">
        <v>-0.064</v>
      </c>
      <c r="AU59" s="302" t="n"/>
      <c r="AV59" s="302" t="n"/>
      <c r="AW59" s="302" t="n"/>
      <c r="AX59" s="302" t="n"/>
      <c r="AY59" s="302" t="n"/>
      <c r="AZ59" s="302" t="n"/>
      <c r="BA59" s="302" t="n"/>
      <c r="BB59" s="301" t="n"/>
      <c r="BC59" s="301" t="n"/>
      <c r="BD59" s="302" t="n">
        <v>32</v>
      </c>
      <c r="BE59" s="302" t="n">
        <v>0.0001396</v>
      </c>
      <c r="BF59" s="302">
        <f>-Radwag[[#This Row],[Error]]</f>
        <v/>
      </c>
      <c r="BG59" s="376" t="n"/>
      <c r="BH59" s="376" t="n"/>
    </row>
    <row r="60">
      <c r="AO60" s="302" t="n">
        <v>46</v>
      </c>
      <c r="AP60" s="302" t="n"/>
      <c r="AQ60" s="302" t="n"/>
      <c r="AR60" s="302" t="n"/>
      <c r="AS60" s="302" t="n"/>
      <c r="AT60" s="302" t="n">
        <v>-0.06519999999999999</v>
      </c>
      <c r="AU60" s="302" t="n"/>
      <c r="AV60" s="302" t="n"/>
      <c r="AW60" s="302" t="n"/>
      <c r="AX60" s="302" t="n"/>
      <c r="AY60" s="302" t="n"/>
      <c r="AZ60" s="302" t="n"/>
      <c r="BA60" s="302" t="n"/>
      <c r="BB60" s="301" t="n"/>
      <c r="BC60" s="301" t="n"/>
      <c r="BD60" s="302" t="n">
        <v>33</v>
      </c>
      <c r="BE60" s="302" t="n">
        <v>0.0001429</v>
      </c>
      <c r="BF60" s="302">
        <f>-Radwag[[#This Row],[Error]]</f>
        <v/>
      </c>
      <c r="BG60" s="376" t="n"/>
      <c r="BH60" s="376" t="n"/>
    </row>
    <row r="61">
      <c r="AO61" s="302" t="n">
        <v>47</v>
      </c>
      <c r="AP61" s="302" t="n"/>
      <c r="AQ61" s="302" t="n"/>
      <c r="AR61" s="302" t="n"/>
      <c r="AS61" s="302" t="n"/>
      <c r="AT61" s="302" t="n">
        <v>-0.0664</v>
      </c>
      <c r="AU61" s="302" t="n"/>
      <c r="AV61" s="302" t="n"/>
      <c r="AW61" s="302" t="n"/>
      <c r="AX61" s="302" t="n"/>
      <c r="AY61" s="302" t="n"/>
      <c r="AZ61" s="302" t="n"/>
      <c r="BA61" s="302" t="n"/>
      <c r="BB61" s="301" t="n"/>
      <c r="BC61" s="301" t="n"/>
      <c r="BD61" s="302" t="n">
        <v>34</v>
      </c>
      <c r="BE61" s="302" t="n">
        <v>0.0001462</v>
      </c>
      <c r="BF61" s="302">
        <f>-Radwag[[#This Row],[Error]]</f>
        <v/>
      </c>
      <c r="BG61" s="376" t="n"/>
      <c r="BH61" s="376" t="n"/>
    </row>
    <row r="62">
      <c r="AO62" s="302" t="n">
        <v>48</v>
      </c>
      <c r="AP62" s="302" t="n"/>
      <c r="AQ62" s="302" t="n"/>
      <c r="AR62" s="302" t="n"/>
      <c r="AS62" s="302" t="n"/>
      <c r="AT62" s="302" t="n">
        <v>-0.06759999999999999</v>
      </c>
      <c r="AU62" s="302" t="n"/>
      <c r="AV62" s="302" t="n"/>
      <c r="AW62" s="302" t="n"/>
      <c r="AX62" s="302" t="n"/>
      <c r="AY62" s="302" t="n"/>
      <c r="AZ62" s="302" t="n"/>
      <c r="BA62" s="302" t="n"/>
      <c r="BB62" s="301" t="n"/>
      <c r="BC62" s="301" t="n"/>
      <c r="BD62" s="302" t="n">
        <v>35</v>
      </c>
      <c r="BE62" s="302" t="n">
        <v>0.0001495</v>
      </c>
      <c r="BF62" s="302">
        <f>-Radwag[[#This Row],[Error]]</f>
        <v/>
      </c>
      <c r="BG62" s="376" t="n"/>
      <c r="BH62" s="376" t="n"/>
    </row>
    <row r="63">
      <c r="AO63" s="302" t="n">
        <v>49</v>
      </c>
      <c r="AP63" s="302" t="n"/>
      <c r="AQ63" s="302" t="n"/>
      <c r="AR63" s="302" t="n"/>
      <c r="AS63" s="302" t="n"/>
      <c r="AT63" s="302" t="n">
        <v>-0.0688</v>
      </c>
      <c r="AU63" s="302" t="n"/>
      <c r="AV63" s="302" t="n"/>
      <c r="AW63" s="302" t="n"/>
      <c r="AX63" s="302" t="n"/>
      <c r="AY63" s="302" t="n"/>
      <c r="AZ63" s="302" t="n"/>
      <c r="BA63" s="302" t="n"/>
      <c r="BB63" s="301" t="n"/>
      <c r="BC63" s="301" t="n"/>
      <c r="BD63" s="302" t="n">
        <v>36</v>
      </c>
      <c r="BE63" s="302" t="n">
        <v>0.0001528</v>
      </c>
      <c r="BF63" s="302">
        <f>-Radwag[[#This Row],[Error]]</f>
        <v/>
      </c>
      <c r="BG63" s="376" t="n"/>
      <c r="BH63" s="376" t="n"/>
    </row>
    <row r="64">
      <c r="AO64" s="302" t="n">
        <v>50</v>
      </c>
      <c r="AP64" s="302" t="n"/>
      <c r="AQ64" s="302" t="n"/>
      <c r="AR64" s="302" t="n"/>
      <c r="AS64" s="302" t="n"/>
      <c r="AT64" s="302" t="n">
        <v>-0.07000000000000001</v>
      </c>
      <c r="AU64" s="302" t="n"/>
      <c r="AV64" s="302" t="n"/>
      <c r="AW64" s="302" t="n"/>
      <c r="AX64" s="302" t="n"/>
      <c r="AY64" s="302" t="n"/>
      <c r="AZ64" s="302" t="n"/>
      <c r="BA64" s="302" t="n"/>
      <c r="BB64" s="301" t="n"/>
      <c r="BC64" s="301" t="n"/>
      <c r="BD64" s="302" t="n">
        <v>37</v>
      </c>
      <c r="BE64" s="302" t="n">
        <v>0.0001561</v>
      </c>
      <c r="BF64" s="302">
        <f>-Radwag[[#This Row],[Error]]</f>
        <v/>
      </c>
      <c r="BG64" s="376" t="n"/>
      <c r="BH64" s="376" t="n"/>
    </row>
    <row r="65">
      <c r="AO65" s="301" t="n"/>
      <c r="AP65" s="301" t="n"/>
      <c r="AQ65" s="301" t="n"/>
      <c r="AR65" s="301" t="n"/>
      <c r="AS65" s="301" t="n"/>
      <c r="AT65" s="301" t="n"/>
      <c r="AU65" s="301" t="n"/>
      <c r="AV65" s="301" t="n"/>
      <c r="AW65" s="301" t="n"/>
      <c r="AX65" s="301" t="n"/>
      <c r="AY65" s="301" t="n"/>
      <c r="AZ65" s="301" t="n"/>
      <c r="BA65" s="301" t="n"/>
      <c r="BB65" s="301" t="n"/>
      <c r="BC65" s="301" t="n"/>
      <c r="BD65" s="302" t="n">
        <v>38</v>
      </c>
      <c r="BE65" s="302" t="n">
        <v>0.0001594</v>
      </c>
      <c r="BF65" s="302">
        <f>-Radwag[[#This Row],[Error]]</f>
        <v/>
      </c>
      <c r="BG65" s="376" t="n"/>
      <c r="BH65" s="376" t="n"/>
    </row>
    <row r="66">
      <c r="AO66" s="301" t="n"/>
      <c r="AP66" s="301" t="n"/>
      <c r="AQ66" s="301" t="n"/>
      <c r="AR66" s="301" t="n"/>
      <c r="AS66" s="301" t="n"/>
      <c r="AT66" s="301" t="n"/>
      <c r="AU66" s="301" t="n"/>
      <c r="AV66" s="301" t="n"/>
      <c r="AW66" s="301" t="n"/>
      <c r="AX66" s="301" t="n"/>
      <c r="AY66" s="301" t="n"/>
      <c r="AZ66" s="301" t="n"/>
      <c r="BA66" s="301" t="n"/>
      <c r="BB66" s="301" t="n"/>
      <c r="BC66" s="301" t="n"/>
      <c r="BD66" s="302" t="n">
        <v>39</v>
      </c>
      <c r="BE66" s="302" t="n">
        <v>0.0001627</v>
      </c>
      <c r="BF66" s="302">
        <f>-Radwag[[#This Row],[Error]]</f>
        <v/>
      </c>
      <c r="BG66" s="376" t="n"/>
      <c r="BH66" s="376" t="n"/>
    </row>
    <row r="67">
      <c r="AO67" s="301" t="n"/>
      <c r="AP67" s="301" t="n"/>
      <c r="AQ67" s="301" t="n"/>
      <c r="AR67" s="301" t="n"/>
      <c r="AS67" s="301" t="n"/>
      <c r="AT67" s="301" t="n"/>
      <c r="AU67" s="301" t="n"/>
      <c r="AV67" s="301" t="n"/>
      <c r="AW67" s="301" t="n"/>
      <c r="AX67" s="301" t="n"/>
      <c r="AY67" s="301" t="n"/>
      <c r="AZ67" s="301" t="n"/>
      <c r="BA67" s="301" t="n"/>
      <c r="BB67" s="301" t="n"/>
      <c r="BC67" s="301" t="n"/>
      <c r="BD67" s="302" t="n">
        <v>40</v>
      </c>
      <c r="BE67" s="302" t="n">
        <v>0.000166</v>
      </c>
      <c r="BF67" s="302">
        <f>-Radwag[[#This Row],[Error]]</f>
        <v/>
      </c>
      <c r="BG67" s="376" t="n"/>
      <c r="BH67" s="376" t="n"/>
    </row>
    <row r="68">
      <c r="AO68" s="301" t="n"/>
      <c r="AP68" s="301" t="n"/>
      <c r="AQ68" s="301" t="n"/>
      <c r="AR68" s="301" t="n"/>
      <c r="AS68" s="301" t="n"/>
      <c r="AT68" s="301" t="n"/>
      <c r="AU68" s="301" t="n"/>
      <c r="AV68" s="301" t="n"/>
      <c r="AW68" s="301" t="n"/>
      <c r="AX68" s="301" t="n"/>
      <c r="AY68" s="301" t="n"/>
      <c r="AZ68" s="301" t="n"/>
      <c r="BA68" s="301" t="n"/>
      <c r="BB68" s="301" t="n"/>
      <c r="BC68" s="301" t="n"/>
      <c r="BD68" s="302" t="n">
        <v>41</v>
      </c>
      <c r="BE68" s="302" t="n">
        <v>0.0001693</v>
      </c>
      <c r="BF68" s="302">
        <f>-Radwag[[#This Row],[Error]]</f>
        <v/>
      </c>
      <c r="BG68" s="376" t="n"/>
      <c r="BH68" s="376" t="n"/>
    </row>
    <row r="69">
      <c r="AO69" s="301" t="n"/>
      <c r="AP69" s="301" t="n"/>
      <c r="AQ69" s="301" t="n"/>
      <c r="AR69" s="301" t="n"/>
      <c r="AS69" s="301" t="n"/>
      <c r="AT69" s="301" t="n"/>
      <c r="AU69" s="301" t="n"/>
      <c r="AV69" s="301" t="n"/>
      <c r="AW69" s="301" t="n"/>
      <c r="AX69" s="301" t="n"/>
      <c r="AY69" s="301" t="n"/>
      <c r="AZ69" s="301" t="n"/>
      <c r="BA69" s="301" t="n"/>
      <c r="BB69" s="301" t="n"/>
      <c r="BC69" s="301" t="n"/>
      <c r="BD69" s="302" t="n">
        <v>42</v>
      </c>
      <c r="BE69" s="302" t="n">
        <v>0.0001726</v>
      </c>
      <c r="BF69" s="302">
        <f>-Radwag[[#This Row],[Error]]</f>
        <v/>
      </c>
      <c r="BG69" s="376" t="n"/>
      <c r="BH69" s="376" t="n"/>
    </row>
    <row r="70">
      <c r="AO70" s="301" t="n"/>
      <c r="AP70" s="301" t="n"/>
      <c r="AQ70" s="301" t="n"/>
      <c r="AR70" s="301" t="n"/>
      <c r="AS70" s="301" t="n"/>
      <c r="AT70" s="301" t="n"/>
      <c r="AU70" s="301" t="n"/>
      <c r="AV70" s="301" t="n"/>
      <c r="AW70" s="301" t="n"/>
      <c r="AX70" s="301" t="n"/>
      <c r="AY70" s="301" t="n"/>
      <c r="AZ70" s="301" t="n"/>
      <c r="BA70" s="301" t="n"/>
      <c r="BB70" s="301" t="n"/>
      <c r="BC70" s="301" t="n"/>
      <c r="BD70" s="302" t="n">
        <v>43</v>
      </c>
      <c r="BE70" s="302" t="n">
        <v>0.0001759</v>
      </c>
      <c r="BF70" s="302">
        <f>-Radwag[[#This Row],[Error]]</f>
        <v/>
      </c>
      <c r="BG70" s="376" t="n"/>
      <c r="BH70" s="376" t="n"/>
    </row>
    <row r="71">
      <c r="AO71" s="301" t="n"/>
      <c r="AP71" s="301" t="n"/>
      <c r="AQ71" s="301" t="n"/>
      <c r="AR71" s="301" t="n"/>
      <c r="AS71" s="301" t="n"/>
      <c r="AT71" s="301" t="n"/>
      <c r="AU71" s="301" t="n"/>
      <c r="AV71" s="301" t="n"/>
      <c r="AW71" s="301" t="n"/>
      <c r="AX71" s="301" t="n"/>
      <c r="AY71" s="301" t="n"/>
      <c r="AZ71" s="301" t="n"/>
      <c r="BA71" s="301" t="n"/>
      <c r="BB71" s="301" t="n"/>
      <c r="BC71" s="301" t="n"/>
      <c r="BD71" s="302" t="n">
        <v>44</v>
      </c>
      <c r="BE71" s="302" t="n">
        <v>0.0001792</v>
      </c>
      <c r="BF71" s="302">
        <f>-Radwag[[#This Row],[Error]]</f>
        <v/>
      </c>
      <c r="BG71" s="376" t="n"/>
      <c r="BH71" s="376" t="n"/>
    </row>
    <row r="72">
      <c r="AO72" s="301" t="n"/>
      <c r="AP72" s="301" t="n"/>
      <c r="AQ72" s="301" t="n"/>
      <c r="AR72" s="301" t="n"/>
      <c r="AS72" s="301" t="n"/>
      <c r="AT72" s="301" t="n"/>
      <c r="AU72" s="301" t="n"/>
      <c r="AV72" s="301" t="n"/>
      <c r="AW72" s="301" t="n"/>
      <c r="AX72" s="301" t="n"/>
      <c r="AY72" s="301" t="n"/>
      <c r="AZ72" s="301" t="n"/>
      <c r="BA72" s="301" t="n"/>
      <c r="BB72" s="301" t="n"/>
      <c r="BC72" s="301" t="n"/>
      <c r="BD72" s="302" t="n">
        <v>45</v>
      </c>
      <c r="BE72" s="302" t="n">
        <v>0.0001825</v>
      </c>
      <c r="BF72" s="302">
        <f>-Radwag[[#This Row],[Error]]</f>
        <v/>
      </c>
      <c r="BG72" s="376" t="n"/>
      <c r="BH72" s="376" t="n"/>
    </row>
    <row r="73">
      <c r="AO73" s="301" t="n"/>
      <c r="AP73" s="301" t="n"/>
      <c r="AQ73" s="301" t="n"/>
      <c r="AR73" s="301" t="n"/>
      <c r="AS73" s="301" t="n"/>
      <c r="AT73" s="301" t="n"/>
      <c r="AU73" s="301" t="n"/>
      <c r="AV73" s="301" t="n"/>
      <c r="AW73" s="301" t="n"/>
      <c r="AX73" s="301" t="n"/>
      <c r="AY73" s="301" t="n"/>
      <c r="AZ73" s="301" t="n"/>
      <c r="BA73" s="301" t="n"/>
      <c r="BB73" s="301" t="n"/>
      <c r="BC73" s="301" t="n"/>
      <c r="BD73" s="302" t="n">
        <v>46</v>
      </c>
      <c r="BE73" s="302" t="n">
        <v>0.0001858</v>
      </c>
      <c r="BF73" s="302">
        <f>-Radwag[[#This Row],[Error]]</f>
        <v/>
      </c>
      <c r="BG73" s="376" t="n"/>
      <c r="BH73" s="376" t="n"/>
    </row>
    <row r="74">
      <c r="AO74" s="301" t="n"/>
      <c r="AP74" s="301" t="n"/>
      <c r="AQ74" s="301" t="n"/>
      <c r="AR74" s="301" t="n"/>
      <c r="AS74" s="301" t="n"/>
      <c r="AT74" s="301" t="n"/>
      <c r="AU74" s="301" t="n"/>
      <c r="AV74" s="301" t="n"/>
      <c r="AW74" s="301" t="n"/>
      <c r="AX74" s="301" t="n"/>
      <c r="AY74" s="301" t="n"/>
      <c r="AZ74" s="301" t="n"/>
      <c r="BA74" s="301" t="n"/>
      <c r="BB74" s="301" t="n"/>
      <c r="BC74" s="301" t="n"/>
      <c r="BD74" s="302" t="n">
        <v>47</v>
      </c>
      <c r="BE74" s="302" t="n">
        <v>0.0001891</v>
      </c>
      <c r="BF74" s="302">
        <f>-Radwag[[#This Row],[Error]]</f>
        <v/>
      </c>
      <c r="BG74" s="376" t="n"/>
      <c r="BH74" s="376" t="n"/>
    </row>
    <row r="75">
      <c r="AO75" s="301" t="n"/>
      <c r="AP75" s="301" t="n"/>
      <c r="AQ75" s="301" t="n"/>
      <c r="AR75" s="301" t="n"/>
      <c r="AS75" s="301" t="n"/>
      <c r="AT75" s="301" t="n"/>
      <c r="AU75" s="301" t="n"/>
      <c r="AV75" s="301" t="n"/>
      <c r="AW75" s="301" t="n"/>
      <c r="AX75" s="301" t="n"/>
      <c r="AY75" s="301" t="n"/>
      <c r="AZ75" s="301" t="n"/>
      <c r="BA75" s="301" t="n"/>
      <c r="BB75" s="301" t="n"/>
      <c r="BC75" s="301" t="n"/>
      <c r="BD75" s="302" t="n">
        <v>48</v>
      </c>
      <c r="BE75" s="302" t="n">
        <v>0.0001924</v>
      </c>
      <c r="BF75" s="302">
        <f>-Radwag[[#This Row],[Error]]</f>
        <v/>
      </c>
      <c r="BG75" s="376" t="n"/>
      <c r="BH75" s="376" t="n"/>
    </row>
    <row r="76">
      <c r="AO76" s="301" t="n"/>
      <c r="AP76" s="301" t="n"/>
      <c r="AQ76" s="301" t="n"/>
      <c r="AR76" s="301" t="n"/>
      <c r="AS76" s="301" t="n"/>
      <c r="AT76" s="301" t="n"/>
      <c r="AU76" s="301" t="n"/>
      <c r="AV76" s="301" t="n"/>
      <c r="AW76" s="301" t="n"/>
      <c r="AX76" s="301" t="n"/>
      <c r="AY76" s="301" t="n"/>
      <c r="AZ76" s="301" t="n"/>
      <c r="BA76" s="301" t="n"/>
      <c r="BB76" s="301" t="n"/>
      <c r="BC76" s="301" t="n"/>
      <c r="BD76" s="302" t="n">
        <v>49</v>
      </c>
      <c r="BE76" s="302" t="n">
        <v>0.0001957</v>
      </c>
      <c r="BF76" s="302">
        <f>-Radwag[[#This Row],[Error]]</f>
        <v/>
      </c>
      <c r="BG76" s="376" t="n"/>
      <c r="BH76" s="376" t="n"/>
    </row>
    <row r="77">
      <c r="AO77" s="301" t="n"/>
      <c r="AP77" s="301" t="n"/>
      <c r="AQ77" s="301" t="n"/>
      <c r="AR77" s="301" t="n"/>
      <c r="AS77" s="301" t="n"/>
      <c r="AT77" s="301" t="n"/>
      <c r="AU77" s="301" t="n"/>
      <c r="AV77" s="301" t="n"/>
      <c r="AW77" s="301" t="n"/>
      <c r="AX77" s="301" t="n"/>
      <c r="AY77" s="301" t="n"/>
      <c r="AZ77" s="301" t="n"/>
      <c r="BA77" s="301" t="n"/>
      <c r="BB77" s="301" t="n"/>
      <c r="BC77" s="301" t="n"/>
      <c r="BD77" s="302" t="n">
        <v>50</v>
      </c>
      <c r="BE77" s="302" t="n">
        <v>0.0002</v>
      </c>
      <c r="BF77" s="302">
        <f>-Radwag[[#This Row],[Error]]</f>
        <v/>
      </c>
      <c r="BG77" s="376" t="n"/>
      <c r="BH77" s="376" t="n"/>
    </row>
    <row r="78">
      <c r="AO78" s="301" t="n"/>
      <c r="AP78" s="301" t="n"/>
      <c r="AQ78" s="301" t="n"/>
      <c r="AR78" s="301" t="n"/>
      <c r="AS78" s="301" t="n"/>
      <c r="AT78" s="301" t="n"/>
      <c r="AU78" s="301" t="n"/>
      <c r="AV78" s="301" t="n"/>
      <c r="AW78" s="301" t="n"/>
      <c r="AX78" s="301" t="n"/>
      <c r="AY78" s="301" t="n"/>
      <c r="AZ78" s="301" t="n"/>
      <c r="BA78" s="301" t="n"/>
      <c r="BB78" s="301" t="n"/>
      <c r="BC78" s="301" t="n"/>
      <c r="BD78" s="302" t="n">
        <v>51</v>
      </c>
      <c r="BE78" s="302" t="n">
        <v>0.0002025</v>
      </c>
      <c r="BF78" s="302">
        <f>-Radwag[[#This Row],[Error]]</f>
        <v/>
      </c>
      <c r="BG78" s="376" t="n"/>
      <c r="BH78" s="376" t="n"/>
    </row>
    <row r="79">
      <c r="AO79" s="301" t="n"/>
      <c r="AP79" s="301" t="n"/>
      <c r="AQ79" s="301" t="n"/>
      <c r="AR79" s="301" t="n"/>
      <c r="AS79" s="301" t="n"/>
      <c r="AT79" s="301" t="n"/>
      <c r="AU79" s="301" t="n"/>
      <c r="AV79" s="301" t="n"/>
      <c r="AW79" s="301" t="n"/>
      <c r="AX79" s="301" t="n"/>
      <c r="AY79" s="301" t="n"/>
      <c r="AZ79" s="301" t="n"/>
      <c r="BA79" s="301" t="n"/>
      <c r="BB79" s="301" t="n"/>
      <c r="BC79" s="301" t="n"/>
      <c r="BD79" s="302" t="n">
        <v>52</v>
      </c>
      <c r="BE79" s="302" t="n">
        <v>0.000205</v>
      </c>
      <c r="BF79" s="302">
        <f>-Radwag[[#This Row],[Error]]</f>
        <v/>
      </c>
      <c r="BG79" s="376" t="n"/>
      <c r="BH79" s="376" t="n"/>
    </row>
    <row r="80">
      <c r="AO80" s="301" t="n"/>
      <c r="AP80" s="301" t="n"/>
      <c r="AQ80" s="301" t="n"/>
      <c r="AR80" s="301" t="n"/>
      <c r="AS80" s="301" t="n"/>
      <c r="AT80" s="301" t="n"/>
      <c r="AU80" s="301" t="n"/>
      <c r="AV80" s="301" t="n"/>
      <c r="AW80" s="301" t="n"/>
      <c r="AX80" s="301" t="n"/>
      <c r="AY80" s="301" t="n"/>
      <c r="AZ80" s="301" t="n"/>
      <c r="BA80" s="301" t="n"/>
      <c r="BB80" s="301" t="n"/>
      <c r="BC80" s="301" t="n"/>
      <c r="BD80" s="302" t="n">
        <v>53</v>
      </c>
      <c r="BE80" s="302" t="n">
        <v>0.0002075</v>
      </c>
      <c r="BF80" s="302">
        <f>-Radwag[[#This Row],[Error]]</f>
        <v/>
      </c>
      <c r="BG80" s="376" t="n"/>
      <c r="BH80" s="376" t="n"/>
    </row>
    <row r="81">
      <c r="AO81" s="301" t="n"/>
      <c r="AP81" s="301" t="n"/>
      <c r="AQ81" s="301" t="n"/>
      <c r="AR81" s="301" t="n"/>
      <c r="AS81" s="301" t="n"/>
      <c r="AT81" s="301" t="n"/>
      <c r="AU81" s="301" t="n"/>
      <c r="AV81" s="301" t="n"/>
      <c r="AW81" s="301" t="n"/>
      <c r="AX81" s="301" t="n"/>
      <c r="AY81" s="301" t="n"/>
      <c r="AZ81" s="301" t="n"/>
      <c r="BA81" s="301" t="n"/>
      <c r="BB81" s="301" t="n"/>
      <c r="BC81" s="301" t="n"/>
      <c r="BD81" s="302" t="n">
        <v>54</v>
      </c>
      <c r="BE81" s="302" t="n">
        <v>0.00021</v>
      </c>
      <c r="BF81" s="302">
        <f>-Radwag[[#This Row],[Error]]</f>
        <v/>
      </c>
      <c r="BG81" s="376" t="n"/>
      <c r="BH81" s="376" t="n"/>
    </row>
    <row r="82">
      <c r="AO82" s="301" t="n"/>
      <c r="AP82" s="301" t="n"/>
      <c r="AQ82" s="301" t="n"/>
      <c r="AR82" s="301" t="n"/>
      <c r="AS82" s="301" t="n"/>
      <c r="AT82" s="301" t="n"/>
      <c r="AU82" s="301" t="n"/>
      <c r="AV82" s="301" t="n"/>
      <c r="AW82" s="301" t="n"/>
      <c r="AX82" s="301" t="n"/>
      <c r="AY82" s="301" t="n"/>
      <c r="AZ82" s="301" t="n"/>
      <c r="BA82" s="301" t="n"/>
      <c r="BB82" s="301" t="n"/>
      <c r="BC82" s="301" t="n"/>
      <c r="BD82" s="302" t="n">
        <v>55</v>
      </c>
      <c r="BE82" s="302" t="n">
        <v>0.0002125</v>
      </c>
      <c r="BF82" s="302">
        <f>-Radwag[[#This Row],[Error]]</f>
        <v/>
      </c>
      <c r="BG82" s="376" t="n"/>
      <c r="BH82" s="376" t="n"/>
    </row>
    <row r="83">
      <c r="AO83" s="301" t="n"/>
      <c r="AP83" s="301" t="n"/>
      <c r="AQ83" s="301" t="n"/>
      <c r="AR83" s="301" t="n"/>
      <c r="AS83" s="301" t="n"/>
      <c r="AT83" s="301" t="n"/>
      <c r="AU83" s="301" t="n"/>
      <c r="AV83" s="301" t="n"/>
      <c r="AW83" s="301" t="n"/>
      <c r="AX83" s="301" t="n"/>
      <c r="AY83" s="301" t="n"/>
      <c r="AZ83" s="301" t="n"/>
      <c r="BA83" s="301" t="n"/>
      <c r="BB83" s="301" t="n"/>
      <c r="BC83" s="301" t="n"/>
      <c r="BD83" s="302" t="n">
        <v>56</v>
      </c>
      <c r="BE83" s="302" t="n">
        <v>0.000215</v>
      </c>
      <c r="BF83" s="302">
        <f>-Radwag[[#This Row],[Error]]</f>
        <v/>
      </c>
      <c r="BG83" s="376" t="n"/>
      <c r="BH83" s="376" t="n"/>
    </row>
    <row r="84">
      <c r="AO84" s="301" t="n"/>
      <c r="AP84" s="301" t="n"/>
      <c r="AQ84" s="301" t="n"/>
      <c r="AR84" s="301" t="n"/>
      <c r="AS84" s="301" t="n"/>
      <c r="AT84" s="301" t="n"/>
      <c r="AU84" s="301" t="n"/>
      <c r="AV84" s="301" t="n"/>
      <c r="AW84" s="301" t="n"/>
      <c r="AX84" s="301" t="n"/>
      <c r="AY84" s="301" t="n"/>
      <c r="AZ84" s="301" t="n"/>
      <c r="BA84" s="301" t="n"/>
      <c r="BB84" s="301" t="n"/>
      <c r="BC84" s="301" t="n"/>
      <c r="BD84" s="302" t="n">
        <v>57</v>
      </c>
      <c r="BE84" s="302" t="n">
        <v>0.0002175</v>
      </c>
      <c r="BF84" s="302">
        <f>-Radwag[[#This Row],[Error]]</f>
        <v/>
      </c>
      <c r="BG84" s="376" t="n"/>
      <c r="BH84" s="376" t="n"/>
    </row>
    <row r="85">
      <c r="AO85" s="301" t="n"/>
      <c r="AP85" s="301" t="n"/>
      <c r="AQ85" s="301" t="n"/>
      <c r="AR85" s="301" t="n"/>
      <c r="AS85" s="301" t="n"/>
      <c r="AT85" s="301" t="n"/>
      <c r="AU85" s="301" t="n"/>
      <c r="AV85" s="301" t="n"/>
      <c r="AW85" s="301" t="n"/>
      <c r="AX85" s="301" t="n"/>
      <c r="AY85" s="301" t="n"/>
      <c r="AZ85" s="301" t="n"/>
      <c r="BA85" s="301" t="n"/>
      <c r="BB85" s="301" t="n"/>
      <c r="BC85" s="301" t="n"/>
      <c r="BD85" s="302" t="n">
        <v>58</v>
      </c>
      <c r="BE85" s="302" t="n">
        <v>0.00022</v>
      </c>
      <c r="BF85" s="302">
        <f>-Radwag[[#This Row],[Error]]</f>
        <v/>
      </c>
      <c r="BG85" s="376" t="n"/>
      <c r="BH85" s="376" t="n"/>
    </row>
    <row r="86">
      <c r="AO86" s="301" t="n"/>
      <c r="AP86" s="301" t="n"/>
      <c r="AQ86" s="301" t="n"/>
      <c r="AR86" s="301" t="n"/>
      <c r="AS86" s="301" t="n"/>
      <c r="AT86" s="301" t="n"/>
      <c r="AU86" s="301" t="n"/>
      <c r="AV86" s="301" t="n"/>
      <c r="AW86" s="301" t="n"/>
      <c r="AX86" s="301" t="n"/>
      <c r="AY86" s="301" t="n"/>
      <c r="AZ86" s="301" t="n"/>
      <c r="BA86" s="301" t="n"/>
      <c r="BB86" s="301" t="n"/>
      <c r="BC86" s="301" t="n"/>
      <c r="BD86" s="302" t="n">
        <v>59</v>
      </c>
      <c r="BE86" s="302" t="n">
        <v>0.0002225</v>
      </c>
      <c r="BF86" s="302">
        <f>-Radwag[[#This Row],[Error]]</f>
        <v/>
      </c>
      <c r="BG86" s="376" t="n"/>
      <c r="BH86" s="376" t="n"/>
    </row>
    <row r="87">
      <c r="AO87" s="301" t="n"/>
      <c r="AP87" s="301" t="n"/>
      <c r="AQ87" s="301" t="n"/>
      <c r="AR87" s="301" t="n"/>
      <c r="AS87" s="301" t="n"/>
      <c r="AT87" s="301" t="n"/>
      <c r="AU87" s="301" t="n"/>
      <c r="AV87" s="301" t="n"/>
      <c r="AW87" s="301" t="n"/>
      <c r="AX87" s="301" t="n"/>
      <c r="AY87" s="301" t="n"/>
      <c r="AZ87" s="301" t="n"/>
      <c r="BA87" s="301" t="n"/>
      <c r="BB87" s="301" t="n"/>
      <c r="BC87" s="301" t="n"/>
      <c r="BD87" s="302" t="n">
        <v>60</v>
      </c>
      <c r="BE87" s="302" t="n">
        <v>0.000225</v>
      </c>
      <c r="BF87" s="302">
        <f>-Radwag[[#This Row],[Error]]</f>
        <v/>
      </c>
      <c r="BG87" s="376" t="n"/>
      <c r="BH87" s="376" t="n"/>
    </row>
    <row r="88">
      <c r="AO88" s="301" t="n"/>
      <c r="AP88" s="301" t="n"/>
      <c r="AQ88" s="301" t="n"/>
      <c r="AR88" s="301" t="n"/>
      <c r="AS88" s="301" t="n"/>
      <c r="AT88" s="301" t="n"/>
      <c r="AU88" s="301" t="n"/>
      <c r="AV88" s="301" t="n"/>
      <c r="AW88" s="301" t="n"/>
      <c r="AX88" s="301" t="n"/>
      <c r="AY88" s="301" t="n"/>
      <c r="AZ88" s="301" t="n"/>
      <c r="BA88" s="301" t="n"/>
      <c r="BB88" s="301" t="n"/>
      <c r="BC88" s="301" t="n"/>
      <c r="BD88" s="302" t="n">
        <v>61</v>
      </c>
      <c r="BE88" s="302" t="n">
        <v>0.0002275</v>
      </c>
      <c r="BF88" s="302">
        <f>-Radwag[[#This Row],[Error]]</f>
        <v/>
      </c>
      <c r="BG88" s="376" t="n"/>
      <c r="BH88" s="376" t="n"/>
    </row>
    <row r="89">
      <c r="AO89" s="301" t="n"/>
      <c r="AP89" s="301" t="n"/>
      <c r="AQ89" s="301" t="n"/>
      <c r="AR89" s="301" t="n"/>
      <c r="AS89" s="301" t="n"/>
      <c r="AT89" s="301" t="n"/>
      <c r="AU89" s="301" t="n"/>
      <c r="AV89" s="301" t="n"/>
      <c r="AW89" s="301" t="n"/>
      <c r="AX89" s="301" t="n"/>
      <c r="AY89" s="301" t="n"/>
      <c r="AZ89" s="301" t="n"/>
      <c r="BA89" s="301" t="n"/>
      <c r="BB89" s="301" t="n"/>
      <c r="BC89" s="301" t="n"/>
      <c r="BD89" s="302" t="n">
        <v>62</v>
      </c>
      <c r="BE89" s="302" t="n">
        <v>0.00023</v>
      </c>
      <c r="BF89" s="302">
        <f>-Radwag[[#This Row],[Error]]</f>
        <v/>
      </c>
      <c r="BG89" s="376" t="n"/>
      <c r="BH89" s="376" t="n"/>
    </row>
    <row r="90">
      <c r="AO90" s="301" t="n"/>
      <c r="AP90" s="301" t="n"/>
      <c r="AQ90" s="301" t="n"/>
      <c r="AR90" s="301" t="n"/>
      <c r="AS90" s="301" t="n"/>
      <c r="AT90" s="301" t="n"/>
      <c r="AU90" s="301" t="n"/>
      <c r="AV90" s="301" t="n"/>
      <c r="AW90" s="301" t="n"/>
      <c r="AX90" s="301" t="n"/>
      <c r="AY90" s="301" t="n"/>
      <c r="AZ90" s="301" t="n"/>
      <c r="BA90" s="301" t="n"/>
      <c r="BB90" s="301" t="n"/>
      <c r="BC90" s="301" t="n"/>
      <c r="BD90" s="302" t="n">
        <v>63</v>
      </c>
      <c r="BE90" s="302" t="n">
        <v>0.0002325</v>
      </c>
      <c r="BF90" s="302">
        <f>-Radwag[[#This Row],[Error]]</f>
        <v/>
      </c>
      <c r="BG90" s="376" t="n"/>
      <c r="BH90" s="376" t="n"/>
    </row>
    <row r="91">
      <c r="AO91" s="301" t="n"/>
      <c r="AP91" s="301" t="n"/>
      <c r="AQ91" s="301" t="n"/>
      <c r="AR91" s="301" t="n"/>
      <c r="AS91" s="301" t="n"/>
      <c r="AT91" s="301" t="n"/>
      <c r="AU91" s="301" t="n"/>
      <c r="AV91" s="301" t="n"/>
      <c r="AW91" s="301" t="n"/>
      <c r="AX91" s="301" t="n"/>
      <c r="AY91" s="301" t="n"/>
      <c r="AZ91" s="301" t="n"/>
      <c r="BA91" s="301" t="n"/>
      <c r="BB91" s="301" t="n"/>
      <c r="BC91" s="301" t="n"/>
      <c r="BD91" s="302" t="n">
        <v>64</v>
      </c>
      <c r="BE91" s="302" t="n">
        <v>0.000235</v>
      </c>
      <c r="BF91" s="302">
        <f>-Radwag[[#This Row],[Error]]</f>
        <v/>
      </c>
      <c r="BG91" s="376" t="n"/>
      <c r="BH91" s="376" t="n"/>
    </row>
    <row r="92">
      <c r="AO92" s="301" t="n"/>
      <c r="AP92" s="301" t="n"/>
      <c r="AQ92" s="301" t="n"/>
      <c r="AR92" s="301" t="n"/>
      <c r="AS92" s="301" t="n"/>
      <c r="AT92" s="301" t="n"/>
      <c r="AU92" s="301" t="n"/>
      <c r="AV92" s="301" t="n"/>
      <c r="AW92" s="301" t="n"/>
      <c r="AX92" s="301" t="n"/>
      <c r="AY92" s="301" t="n"/>
      <c r="AZ92" s="301" t="n"/>
      <c r="BA92" s="301" t="n"/>
      <c r="BB92" s="301" t="n"/>
      <c r="BC92" s="301" t="n"/>
      <c r="BD92" s="302" t="n">
        <v>65</v>
      </c>
      <c r="BE92" s="302" t="n">
        <v>0.0002375</v>
      </c>
      <c r="BF92" s="302">
        <f>-Radwag[[#This Row],[Error]]</f>
        <v/>
      </c>
      <c r="BG92" s="376" t="n"/>
      <c r="BH92" s="376" t="n"/>
    </row>
    <row r="93">
      <c r="AO93" s="301" t="n"/>
      <c r="AP93" s="301" t="n"/>
      <c r="AQ93" s="301" t="n"/>
      <c r="AR93" s="301" t="n"/>
      <c r="AS93" s="301" t="n"/>
      <c r="AT93" s="301" t="n"/>
      <c r="AU93" s="301" t="n"/>
      <c r="AV93" s="301" t="n"/>
      <c r="AW93" s="301" t="n"/>
      <c r="AX93" s="301" t="n"/>
      <c r="AY93" s="301" t="n"/>
      <c r="AZ93" s="301" t="n"/>
      <c r="BA93" s="301" t="n"/>
      <c r="BB93" s="301" t="n"/>
      <c r="BC93" s="301" t="n"/>
      <c r="BD93" s="302" t="n">
        <v>66</v>
      </c>
      <c r="BE93" s="302" t="n">
        <v>0.00024</v>
      </c>
      <c r="BF93" s="302">
        <f>-Radwag[[#This Row],[Error]]</f>
        <v/>
      </c>
      <c r="BG93" s="376" t="n"/>
      <c r="BH93" s="376" t="n"/>
    </row>
    <row r="94">
      <c r="AO94" s="301" t="n"/>
      <c r="AP94" s="301" t="n"/>
      <c r="AQ94" s="301" t="n"/>
      <c r="AR94" s="301" t="n"/>
      <c r="AS94" s="301" t="n"/>
      <c r="AT94" s="301" t="n"/>
      <c r="AU94" s="301" t="n"/>
      <c r="AV94" s="301" t="n"/>
      <c r="AW94" s="301" t="n"/>
      <c r="AX94" s="301" t="n"/>
      <c r="AY94" s="301" t="n"/>
      <c r="AZ94" s="301" t="n"/>
      <c r="BA94" s="301" t="n"/>
      <c r="BB94" s="301" t="n"/>
      <c r="BC94" s="301" t="n"/>
      <c r="BD94" s="302" t="n">
        <v>67</v>
      </c>
      <c r="BE94" s="302" t="n">
        <v>0.0002425</v>
      </c>
      <c r="BF94" s="302">
        <f>-Radwag[[#This Row],[Error]]</f>
        <v/>
      </c>
      <c r="BG94" s="376" t="n"/>
      <c r="BH94" s="376" t="n"/>
    </row>
    <row r="95">
      <c r="AO95" s="301" t="n"/>
      <c r="AP95" s="301" t="n"/>
      <c r="AQ95" s="301" t="n"/>
      <c r="AR95" s="301" t="n"/>
      <c r="AS95" s="301" t="n"/>
      <c r="AT95" s="301" t="n"/>
      <c r="AU95" s="301" t="n"/>
      <c r="AV95" s="301" t="n"/>
      <c r="AW95" s="301" t="n"/>
      <c r="AX95" s="301" t="n"/>
      <c r="AY95" s="301" t="n"/>
      <c r="AZ95" s="301" t="n"/>
      <c r="BA95" s="301" t="n"/>
      <c r="BB95" s="301" t="n"/>
      <c r="BC95" s="301" t="n"/>
      <c r="BD95" s="302" t="n">
        <v>68</v>
      </c>
      <c r="BE95" s="302" t="n">
        <v>0.000245</v>
      </c>
      <c r="BF95" s="302">
        <f>-Radwag[[#This Row],[Error]]</f>
        <v/>
      </c>
      <c r="BG95" s="376" t="n"/>
      <c r="BH95" s="376" t="n"/>
    </row>
    <row r="96">
      <c r="AO96" s="301" t="n"/>
      <c r="AP96" s="301" t="n"/>
      <c r="AQ96" s="301" t="n"/>
      <c r="AR96" s="301" t="n"/>
      <c r="AS96" s="301" t="n"/>
      <c r="AT96" s="301" t="n"/>
      <c r="AU96" s="301" t="n"/>
      <c r="AV96" s="301" t="n"/>
      <c r="AW96" s="301" t="n"/>
      <c r="AX96" s="301" t="n"/>
      <c r="AY96" s="301" t="n"/>
      <c r="AZ96" s="301" t="n"/>
      <c r="BA96" s="301" t="n"/>
      <c r="BB96" s="301" t="n"/>
      <c r="BC96" s="301" t="n"/>
      <c r="BD96" s="302" t="n">
        <v>69</v>
      </c>
      <c r="BE96" s="302" t="n">
        <v>0.0002475</v>
      </c>
      <c r="BF96" s="302">
        <f>-Radwag[[#This Row],[Error]]</f>
        <v/>
      </c>
      <c r="BG96" s="376" t="n"/>
      <c r="BH96" s="376" t="n"/>
    </row>
    <row r="97">
      <c r="AO97" s="301" t="n"/>
      <c r="AP97" s="301" t="n"/>
      <c r="AQ97" s="301" t="n"/>
      <c r="AR97" s="301" t="n"/>
      <c r="AS97" s="301" t="n"/>
      <c r="AT97" s="301" t="n"/>
      <c r="AU97" s="301" t="n"/>
      <c r="AV97" s="301" t="n"/>
      <c r="AW97" s="301" t="n"/>
      <c r="AX97" s="301" t="n"/>
      <c r="AY97" s="301" t="n"/>
      <c r="AZ97" s="301" t="n"/>
      <c r="BA97" s="301" t="n"/>
      <c r="BB97" s="301" t="n"/>
      <c r="BC97" s="301" t="n"/>
      <c r="BD97" s="302" t="n">
        <v>70</v>
      </c>
      <c r="BE97" s="302" t="n">
        <v>0.00025</v>
      </c>
      <c r="BF97" s="302">
        <f>-Radwag[[#This Row],[Error]]</f>
        <v/>
      </c>
      <c r="BG97" s="376" t="n"/>
      <c r="BH97" s="376" t="n"/>
    </row>
    <row r="98">
      <c r="AO98" s="301" t="n"/>
      <c r="AP98" s="301" t="n"/>
      <c r="AQ98" s="301" t="n"/>
      <c r="AR98" s="301" t="n"/>
      <c r="AS98" s="301" t="n"/>
      <c r="AT98" s="301" t="n"/>
      <c r="AU98" s="301" t="n"/>
      <c r="AV98" s="301" t="n"/>
      <c r="AW98" s="301" t="n"/>
      <c r="AX98" s="301" t="n"/>
      <c r="AY98" s="301" t="n"/>
      <c r="AZ98" s="301" t="n"/>
      <c r="BA98" s="301" t="n"/>
      <c r="BB98" s="301" t="n"/>
      <c r="BC98" s="301" t="n"/>
      <c r="BD98" s="302" t="n">
        <v>71</v>
      </c>
      <c r="BE98" s="302" t="n">
        <v>0.0002493</v>
      </c>
      <c r="BF98" s="302">
        <f>-Radwag[[#This Row],[Error]]</f>
        <v/>
      </c>
      <c r="BG98" s="376" t="n"/>
      <c r="BH98" s="376" t="n"/>
    </row>
    <row r="99">
      <c r="AO99" s="301" t="n"/>
      <c r="AP99" s="301" t="n"/>
      <c r="AQ99" s="301" t="n"/>
      <c r="AR99" s="301" t="n"/>
      <c r="AS99" s="301" t="n"/>
      <c r="AT99" s="301" t="n"/>
      <c r="AU99" s="301" t="n"/>
      <c r="AV99" s="301" t="n"/>
      <c r="AW99" s="301" t="n"/>
      <c r="AX99" s="301" t="n"/>
      <c r="AY99" s="301" t="n"/>
      <c r="AZ99" s="301" t="n"/>
      <c r="BA99" s="301" t="n"/>
      <c r="BB99" s="301" t="n"/>
      <c r="BC99" s="301" t="n"/>
      <c r="BD99" s="302" t="n">
        <v>72</v>
      </c>
      <c r="BE99" s="302" t="n">
        <v>0.0002476</v>
      </c>
      <c r="BF99" s="302">
        <f>-Radwag[[#This Row],[Error]]</f>
        <v/>
      </c>
      <c r="BG99" s="376" t="n"/>
      <c r="BH99" s="376" t="n"/>
    </row>
    <row r="100">
      <c r="AO100" s="301" t="n"/>
      <c r="AP100" s="301" t="n"/>
      <c r="AQ100" s="301" t="n"/>
      <c r="AR100" s="301" t="n"/>
      <c r="AS100" s="301" t="n"/>
      <c r="AT100" s="301" t="n"/>
      <c r="AU100" s="301" t="n"/>
      <c r="AV100" s="301" t="n"/>
      <c r="AW100" s="301" t="n"/>
      <c r="AX100" s="301" t="n"/>
      <c r="AY100" s="301" t="n"/>
      <c r="AZ100" s="301" t="n"/>
      <c r="BA100" s="301" t="n"/>
      <c r="BB100" s="301" t="n"/>
      <c r="BC100" s="301" t="n"/>
      <c r="BD100" s="302" t="n">
        <v>73</v>
      </c>
      <c r="BE100" s="302" t="n">
        <v>0.0002459</v>
      </c>
      <c r="BF100" s="302">
        <f>-Radwag[[#This Row],[Error]]</f>
        <v/>
      </c>
      <c r="BG100" s="376" t="n"/>
      <c r="BH100" s="376" t="n"/>
    </row>
    <row r="101">
      <c r="AO101" s="301" t="n"/>
      <c r="AP101" s="301" t="n"/>
      <c r="AQ101" s="301" t="n"/>
      <c r="AR101" s="301" t="n"/>
      <c r="AS101" s="301" t="n"/>
      <c r="AT101" s="301" t="n"/>
      <c r="AU101" s="301" t="n"/>
      <c r="AV101" s="301" t="n"/>
      <c r="AW101" s="301" t="n"/>
      <c r="AX101" s="301" t="n"/>
      <c r="AY101" s="301" t="n"/>
      <c r="AZ101" s="301" t="n"/>
      <c r="BA101" s="301" t="n"/>
      <c r="BB101" s="301" t="n"/>
      <c r="BC101" s="301" t="n"/>
      <c r="BD101" s="302" t="n">
        <v>74</v>
      </c>
      <c r="BE101" s="302" t="n">
        <v>0.0002442</v>
      </c>
      <c r="BF101" s="302">
        <f>-Radwag[[#This Row],[Error]]</f>
        <v/>
      </c>
      <c r="BG101" s="376" t="n"/>
      <c r="BH101" s="376" t="n"/>
    </row>
    <row r="102">
      <c r="AO102" s="301" t="n"/>
      <c r="AP102" s="301" t="n"/>
      <c r="AQ102" s="301" t="n"/>
      <c r="AR102" s="301" t="n"/>
      <c r="AS102" s="301" t="n"/>
      <c r="AT102" s="301" t="n"/>
      <c r="AU102" s="301" t="n"/>
      <c r="AV102" s="301" t="n"/>
      <c r="AW102" s="301" t="n"/>
      <c r="AX102" s="301" t="n"/>
      <c r="AY102" s="301" t="n"/>
      <c r="AZ102" s="301" t="n"/>
      <c r="BA102" s="301" t="n"/>
      <c r="BB102" s="301" t="n"/>
      <c r="BC102" s="301" t="n"/>
      <c r="BD102" s="302" t="n">
        <v>75</v>
      </c>
      <c r="BE102" s="302" t="n">
        <v>0.0002425</v>
      </c>
      <c r="BF102" s="302">
        <f>-Radwag[[#This Row],[Error]]</f>
        <v/>
      </c>
      <c r="BG102" s="376" t="n"/>
      <c r="BH102" s="376" t="n"/>
    </row>
    <row r="103">
      <c r="AO103" s="301" t="n"/>
      <c r="AP103" s="301" t="n"/>
      <c r="AQ103" s="301" t="n"/>
      <c r="AR103" s="301" t="n"/>
      <c r="AS103" s="301" t="n"/>
      <c r="AT103" s="301" t="n"/>
      <c r="AU103" s="301" t="n"/>
      <c r="AV103" s="301" t="n"/>
      <c r="AW103" s="301" t="n"/>
      <c r="AX103" s="301" t="n"/>
      <c r="AY103" s="301" t="n"/>
      <c r="AZ103" s="301" t="n"/>
      <c r="BA103" s="301" t="n"/>
      <c r="BB103" s="301" t="n"/>
      <c r="BC103" s="301" t="n"/>
      <c r="BD103" s="302" t="n">
        <v>76</v>
      </c>
      <c r="BE103" s="302" t="n">
        <v>0.0002408</v>
      </c>
      <c r="BF103" s="302">
        <f>-Radwag[[#This Row],[Error]]</f>
        <v/>
      </c>
      <c r="BG103" s="376" t="n"/>
      <c r="BH103" s="376" t="n"/>
    </row>
    <row r="104">
      <c r="AO104" s="301" t="n"/>
      <c r="AP104" s="301" t="n"/>
      <c r="AQ104" s="301" t="n"/>
      <c r="AR104" s="301" t="n"/>
      <c r="AS104" s="301" t="n"/>
      <c r="AT104" s="301" t="n"/>
      <c r="AU104" s="301" t="n"/>
      <c r="AV104" s="301" t="n"/>
      <c r="AW104" s="301" t="n"/>
      <c r="AX104" s="301" t="n"/>
      <c r="AY104" s="301" t="n"/>
      <c r="AZ104" s="301" t="n"/>
      <c r="BA104" s="301" t="n"/>
      <c r="BB104" s="301" t="n"/>
      <c r="BC104" s="301" t="n"/>
      <c r="BD104" s="302" t="n">
        <v>77</v>
      </c>
      <c r="BE104" s="302" t="n">
        <v>0.0002391</v>
      </c>
      <c r="BF104" s="302">
        <f>-Radwag[[#This Row],[Error]]</f>
        <v/>
      </c>
      <c r="BG104" s="376" t="n"/>
      <c r="BH104" s="376" t="n"/>
    </row>
    <row r="105">
      <c r="AO105" s="301" t="n"/>
      <c r="AP105" s="301" t="n"/>
      <c r="AQ105" s="301" t="n"/>
      <c r="AR105" s="301" t="n"/>
      <c r="AS105" s="301" t="n"/>
      <c r="AT105" s="301" t="n"/>
      <c r="AU105" s="301" t="n"/>
      <c r="AV105" s="301" t="n"/>
      <c r="AW105" s="301" t="n"/>
      <c r="AX105" s="301" t="n"/>
      <c r="AY105" s="301" t="n"/>
      <c r="AZ105" s="301" t="n"/>
      <c r="BA105" s="301" t="n"/>
      <c r="BB105" s="301" t="n"/>
      <c r="BC105" s="301" t="n"/>
      <c r="BD105" s="302" t="n">
        <v>78</v>
      </c>
      <c r="BE105" s="302" t="n">
        <v>0.0002374</v>
      </c>
      <c r="BF105" s="302">
        <f>-Radwag[[#This Row],[Error]]</f>
        <v/>
      </c>
      <c r="BG105" s="376" t="n"/>
      <c r="BH105" s="376" t="n"/>
    </row>
    <row r="106">
      <c r="AO106" s="301" t="n"/>
      <c r="AP106" s="301" t="n"/>
      <c r="AQ106" s="301" t="n"/>
      <c r="AR106" s="301" t="n"/>
      <c r="AS106" s="301" t="n"/>
      <c r="AT106" s="301" t="n"/>
      <c r="AU106" s="301" t="n"/>
      <c r="AV106" s="301" t="n"/>
      <c r="AW106" s="301" t="n"/>
      <c r="AX106" s="301" t="n"/>
      <c r="AY106" s="301" t="n"/>
      <c r="AZ106" s="301" t="n"/>
      <c r="BA106" s="301" t="n"/>
      <c r="BB106" s="301" t="n"/>
      <c r="BC106" s="301" t="n"/>
      <c r="BD106" s="302" t="n">
        <v>79</v>
      </c>
      <c r="BE106" s="302" t="n">
        <v>0.0002357</v>
      </c>
      <c r="BF106" s="302">
        <f>-Radwag[[#This Row],[Error]]</f>
        <v/>
      </c>
      <c r="BG106" s="376" t="n"/>
      <c r="BH106" s="376" t="n"/>
    </row>
    <row r="107">
      <c r="AO107" s="301" t="n"/>
      <c r="AP107" s="301" t="n"/>
      <c r="AQ107" s="301" t="n"/>
      <c r="AR107" s="301" t="n"/>
      <c r="AS107" s="301" t="n"/>
      <c r="AT107" s="301" t="n"/>
      <c r="AU107" s="301" t="n"/>
      <c r="AV107" s="301" t="n"/>
      <c r="AW107" s="301" t="n"/>
      <c r="AX107" s="301" t="n"/>
      <c r="AY107" s="301" t="n"/>
      <c r="AZ107" s="301" t="n"/>
      <c r="BA107" s="301" t="n"/>
      <c r="BB107" s="301" t="n"/>
      <c r="BC107" s="301" t="n"/>
      <c r="BD107" s="302" t="n">
        <v>80</v>
      </c>
      <c r="BE107" s="302" t="n">
        <v>0.000234</v>
      </c>
      <c r="BF107" s="302">
        <f>-Radwag[[#This Row],[Error]]</f>
        <v/>
      </c>
      <c r="BG107" s="376" t="n"/>
      <c r="BH107" s="376" t="n"/>
    </row>
    <row r="108">
      <c r="AO108" s="301" t="n"/>
      <c r="AP108" s="301" t="n"/>
      <c r="AQ108" s="301" t="n"/>
      <c r="AR108" s="301" t="n"/>
      <c r="AS108" s="301" t="n"/>
      <c r="AT108" s="301" t="n"/>
      <c r="AU108" s="301" t="n"/>
      <c r="AV108" s="301" t="n"/>
      <c r="AW108" s="301" t="n"/>
      <c r="AX108" s="301" t="n"/>
      <c r="AY108" s="301" t="n"/>
      <c r="AZ108" s="301" t="n"/>
      <c r="BA108" s="301" t="n"/>
      <c r="BB108" s="301" t="n"/>
      <c r="BC108" s="301" t="n"/>
      <c r="BD108" s="302" t="n">
        <v>81</v>
      </c>
      <c r="BE108" s="302" t="n">
        <v>0.0002323</v>
      </c>
      <c r="BF108" s="302">
        <f>-Radwag[[#This Row],[Error]]</f>
        <v/>
      </c>
      <c r="BG108" s="376" t="n"/>
      <c r="BH108" s="376" t="n"/>
    </row>
    <row r="109">
      <c r="AO109" s="301" t="n"/>
      <c r="AP109" s="301" t="n"/>
      <c r="AQ109" s="301" t="n"/>
      <c r="AR109" s="301" t="n"/>
      <c r="AS109" s="301" t="n"/>
      <c r="AT109" s="301" t="n"/>
      <c r="AU109" s="301" t="n"/>
      <c r="AV109" s="301" t="n"/>
      <c r="AW109" s="301" t="n"/>
      <c r="AX109" s="301" t="n"/>
      <c r="AY109" s="301" t="n"/>
      <c r="AZ109" s="301" t="n"/>
      <c r="BA109" s="301" t="n"/>
      <c r="BB109" s="301" t="n"/>
      <c r="BC109" s="301" t="n"/>
      <c r="BD109" s="302" t="n">
        <v>82</v>
      </c>
      <c r="BE109" s="302" t="n">
        <v>0.0002306</v>
      </c>
      <c r="BF109" s="302">
        <f>-Radwag[[#This Row],[Error]]</f>
        <v/>
      </c>
      <c r="BG109" s="376" t="n"/>
      <c r="BH109" s="376" t="n"/>
    </row>
    <row r="110">
      <c r="AO110" s="301" t="n"/>
      <c r="AP110" s="301" t="n"/>
      <c r="AQ110" s="301" t="n"/>
      <c r="AR110" s="301" t="n"/>
      <c r="AS110" s="301" t="n"/>
      <c r="AT110" s="301" t="n"/>
      <c r="AU110" s="301" t="n"/>
      <c r="AV110" s="301" t="n"/>
      <c r="AW110" s="301" t="n"/>
      <c r="AX110" s="301" t="n"/>
      <c r="AY110" s="301" t="n"/>
      <c r="AZ110" s="301" t="n"/>
      <c r="BA110" s="301" t="n"/>
      <c r="BB110" s="301" t="n"/>
      <c r="BC110" s="301" t="n"/>
      <c r="BD110" s="302" t="n">
        <v>83</v>
      </c>
      <c r="BE110" s="302" t="n">
        <v>0.0002289</v>
      </c>
      <c r="BF110" s="302">
        <f>-Radwag[[#This Row],[Error]]</f>
        <v/>
      </c>
      <c r="BG110" s="376" t="n"/>
      <c r="BH110" s="376" t="n"/>
    </row>
    <row r="111">
      <c r="AO111" s="301" t="n"/>
      <c r="AP111" s="301" t="n"/>
      <c r="AQ111" s="301" t="n"/>
      <c r="AR111" s="301" t="n"/>
      <c r="AS111" s="301" t="n"/>
      <c r="AT111" s="301" t="n"/>
      <c r="AU111" s="301" t="n"/>
      <c r="AV111" s="301" t="n"/>
      <c r="AW111" s="301" t="n"/>
      <c r="AX111" s="301" t="n"/>
      <c r="AY111" s="301" t="n"/>
      <c r="AZ111" s="301" t="n"/>
      <c r="BA111" s="301" t="n"/>
      <c r="BB111" s="301" t="n"/>
      <c r="BC111" s="301" t="n"/>
      <c r="BD111" s="302" t="n">
        <v>84</v>
      </c>
      <c r="BE111" s="302" t="n">
        <v>0.0002272</v>
      </c>
      <c r="BF111" s="302">
        <f>-Radwag[[#This Row],[Error]]</f>
        <v/>
      </c>
      <c r="BG111" s="376" t="n"/>
      <c r="BH111" s="376" t="n"/>
    </row>
    <row r="112">
      <c r="AO112" s="301" t="n"/>
      <c r="AP112" s="301" t="n"/>
      <c r="AQ112" s="301" t="n"/>
      <c r="AR112" s="301" t="n"/>
      <c r="AS112" s="301" t="n"/>
      <c r="AT112" s="301" t="n"/>
      <c r="AU112" s="301" t="n"/>
      <c r="AV112" s="301" t="n"/>
      <c r="AW112" s="301" t="n"/>
      <c r="AX112" s="301" t="n"/>
      <c r="AY112" s="301" t="n"/>
      <c r="AZ112" s="301" t="n"/>
      <c r="BA112" s="301" t="n"/>
      <c r="BB112" s="301" t="n"/>
      <c r="BC112" s="301" t="n"/>
      <c r="BD112" s="302" t="n">
        <v>85</v>
      </c>
      <c r="BE112" s="302" t="n">
        <v>0.0002255</v>
      </c>
      <c r="BF112" s="302">
        <f>-Radwag[[#This Row],[Error]]</f>
        <v/>
      </c>
      <c r="BG112" s="376" t="n"/>
      <c r="BH112" s="376" t="n"/>
    </row>
    <row r="113">
      <c r="AO113" s="301" t="n"/>
      <c r="AP113" s="301" t="n"/>
      <c r="AQ113" s="301" t="n"/>
      <c r="AR113" s="301" t="n"/>
      <c r="AS113" s="301" t="n"/>
      <c r="AT113" s="301" t="n"/>
      <c r="AU113" s="301" t="n"/>
      <c r="AV113" s="301" t="n"/>
      <c r="AW113" s="301" t="n"/>
      <c r="AX113" s="301" t="n"/>
      <c r="AY113" s="301" t="n"/>
      <c r="AZ113" s="301" t="n"/>
      <c r="BA113" s="301" t="n"/>
      <c r="BB113" s="301" t="n"/>
      <c r="BC113" s="301" t="n"/>
      <c r="BD113" s="302" t="n">
        <v>86</v>
      </c>
      <c r="BE113" s="302" t="n">
        <v>0.0002238</v>
      </c>
      <c r="BF113" s="302">
        <f>-Radwag[[#This Row],[Error]]</f>
        <v/>
      </c>
      <c r="BG113" s="376" t="n"/>
      <c r="BH113" s="376" t="n"/>
    </row>
    <row r="114">
      <c r="AO114" s="301" t="n"/>
      <c r="AP114" s="301" t="n"/>
      <c r="AQ114" s="301" t="n"/>
      <c r="AR114" s="301" t="n"/>
      <c r="AS114" s="301" t="n"/>
      <c r="AT114" s="301" t="n"/>
      <c r="AU114" s="301" t="n"/>
      <c r="AV114" s="301" t="n"/>
      <c r="AW114" s="301" t="n"/>
      <c r="AX114" s="301" t="n"/>
      <c r="AY114" s="301" t="n"/>
      <c r="AZ114" s="301" t="n"/>
      <c r="BA114" s="301" t="n"/>
      <c r="BB114" s="301" t="n"/>
      <c r="BC114" s="301" t="n"/>
      <c r="BD114" s="302" t="n">
        <v>87</v>
      </c>
      <c r="BE114" s="302" t="n">
        <v>0.0002221</v>
      </c>
      <c r="BF114" s="302">
        <f>-Radwag[[#This Row],[Error]]</f>
        <v/>
      </c>
      <c r="BG114" s="376" t="n"/>
      <c r="BH114" s="376" t="n"/>
    </row>
    <row r="115">
      <c r="AO115" s="301" t="n"/>
      <c r="AP115" s="301" t="n"/>
      <c r="AQ115" s="301" t="n"/>
      <c r="AR115" s="301" t="n"/>
      <c r="AS115" s="301" t="n"/>
      <c r="AT115" s="301" t="n"/>
      <c r="AU115" s="301" t="n"/>
      <c r="AV115" s="301" t="n"/>
      <c r="AW115" s="301" t="n"/>
      <c r="AX115" s="301" t="n"/>
      <c r="AY115" s="301" t="n"/>
      <c r="AZ115" s="301" t="n"/>
      <c r="BA115" s="301" t="n"/>
      <c r="BB115" s="301" t="n"/>
      <c r="BC115" s="301" t="n"/>
      <c r="BD115" s="302" t="n">
        <v>88</v>
      </c>
      <c r="BE115" s="302" t="n">
        <v>0.0002204</v>
      </c>
      <c r="BF115" s="302">
        <f>-Radwag[[#This Row],[Error]]</f>
        <v/>
      </c>
      <c r="BG115" s="376" t="n"/>
      <c r="BH115" s="376" t="n"/>
    </row>
    <row r="116">
      <c r="AO116" s="301" t="n"/>
      <c r="AP116" s="301" t="n"/>
      <c r="AQ116" s="301" t="n"/>
      <c r="AR116" s="301" t="n"/>
      <c r="AS116" s="301" t="n"/>
      <c r="AT116" s="301" t="n"/>
      <c r="AU116" s="301" t="n"/>
      <c r="AV116" s="301" t="n"/>
      <c r="AW116" s="301" t="n"/>
      <c r="AX116" s="301" t="n"/>
      <c r="AY116" s="301" t="n"/>
      <c r="AZ116" s="301" t="n"/>
      <c r="BA116" s="301" t="n"/>
      <c r="BB116" s="301" t="n"/>
      <c r="BC116" s="301" t="n"/>
      <c r="BD116" s="302" t="n">
        <v>89</v>
      </c>
      <c r="BE116" s="302" t="n">
        <v>0.0002187</v>
      </c>
      <c r="BF116" s="302">
        <f>-Radwag[[#This Row],[Error]]</f>
        <v/>
      </c>
      <c r="BG116" s="376" t="n"/>
      <c r="BH116" s="376" t="n"/>
    </row>
    <row r="117">
      <c r="AO117" s="301" t="n"/>
      <c r="AP117" s="301" t="n"/>
      <c r="AQ117" s="301" t="n"/>
      <c r="AR117" s="301" t="n"/>
      <c r="AS117" s="301" t="n"/>
      <c r="AT117" s="301" t="n"/>
      <c r="AU117" s="301" t="n"/>
      <c r="AV117" s="301" t="n"/>
      <c r="AW117" s="301" t="n"/>
      <c r="AX117" s="301" t="n"/>
      <c r="AY117" s="301" t="n"/>
      <c r="AZ117" s="301" t="n"/>
      <c r="BA117" s="301" t="n"/>
      <c r="BB117" s="301" t="n"/>
      <c r="BC117" s="301" t="n"/>
      <c r="BD117" s="302" t="n">
        <v>90</v>
      </c>
      <c r="BE117" s="302" t="n">
        <v>0.000217</v>
      </c>
      <c r="BF117" s="302">
        <f>-Radwag[[#This Row],[Error]]</f>
        <v/>
      </c>
      <c r="BG117" s="376" t="n"/>
      <c r="BH117" s="376" t="n"/>
    </row>
    <row r="118">
      <c r="AO118" s="301" t="n"/>
      <c r="AP118" s="301" t="n"/>
      <c r="AQ118" s="301" t="n"/>
      <c r="AR118" s="301" t="n"/>
      <c r="AS118" s="301" t="n"/>
      <c r="AT118" s="301" t="n"/>
      <c r="AU118" s="301" t="n"/>
      <c r="AV118" s="301" t="n"/>
      <c r="AW118" s="301" t="n"/>
      <c r="AX118" s="301" t="n"/>
      <c r="AY118" s="301" t="n"/>
      <c r="AZ118" s="301" t="n"/>
      <c r="BA118" s="301" t="n"/>
      <c r="BB118" s="301" t="n"/>
      <c r="BC118" s="301" t="n"/>
      <c r="BD118" s="302" t="n">
        <v>91</v>
      </c>
      <c r="BE118" s="302" t="n">
        <v>0.0002153</v>
      </c>
      <c r="BF118" s="302">
        <f>-Radwag[[#This Row],[Error]]</f>
        <v/>
      </c>
      <c r="BG118" s="376" t="n"/>
      <c r="BH118" s="376" t="n"/>
    </row>
    <row r="119">
      <c r="AO119" s="301" t="n"/>
      <c r="AP119" s="301" t="n"/>
      <c r="AQ119" s="301" t="n"/>
      <c r="AR119" s="301" t="n"/>
      <c r="AS119" s="301" t="n"/>
      <c r="AT119" s="301" t="n"/>
      <c r="AU119" s="301" t="n"/>
      <c r="AV119" s="301" t="n"/>
      <c r="AW119" s="301" t="n"/>
      <c r="AX119" s="301" t="n"/>
      <c r="AY119" s="301" t="n"/>
      <c r="AZ119" s="301" t="n"/>
      <c r="BA119" s="301" t="n"/>
      <c r="BB119" s="301" t="n"/>
      <c r="BC119" s="301" t="n"/>
      <c r="BD119" s="302" t="n">
        <v>92</v>
      </c>
      <c r="BE119" s="302" t="n">
        <v>0.0002136</v>
      </c>
      <c r="BF119" s="302">
        <f>-Radwag[[#This Row],[Error]]</f>
        <v/>
      </c>
      <c r="BG119" s="376" t="n"/>
      <c r="BH119" s="376" t="n"/>
    </row>
    <row r="120">
      <c r="AO120" s="301" t="n"/>
      <c r="AP120" s="301" t="n"/>
      <c r="AQ120" s="301" t="n"/>
      <c r="AR120" s="301" t="n"/>
      <c r="AS120" s="301" t="n"/>
      <c r="AT120" s="301" t="n"/>
      <c r="AU120" s="301" t="n"/>
      <c r="AV120" s="301" t="n"/>
      <c r="AW120" s="301" t="n"/>
      <c r="AX120" s="301" t="n"/>
      <c r="AY120" s="301" t="n"/>
      <c r="AZ120" s="301" t="n"/>
      <c r="BA120" s="301" t="n"/>
      <c r="BB120" s="301" t="n"/>
      <c r="BC120" s="301" t="n"/>
      <c r="BD120" s="302" t="n">
        <v>93</v>
      </c>
      <c r="BE120" s="302" t="n">
        <v>0.0002119</v>
      </c>
      <c r="BF120" s="302">
        <f>-Radwag[[#This Row],[Error]]</f>
        <v/>
      </c>
      <c r="BG120" s="376" t="n"/>
      <c r="BH120" s="376" t="n"/>
    </row>
    <row r="121">
      <c r="AO121" s="301" t="n"/>
      <c r="AP121" s="301" t="n"/>
      <c r="AQ121" s="301" t="n"/>
      <c r="AR121" s="301" t="n"/>
      <c r="AS121" s="301" t="n"/>
      <c r="AT121" s="301" t="n"/>
      <c r="AU121" s="301" t="n"/>
      <c r="AV121" s="301" t="n"/>
      <c r="AW121" s="301" t="n"/>
      <c r="AX121" s="301" t="n"/>
      <c r="AY121" s="301" t="n"/>
      <c r="AZ121" s="301" t="n"/>
      <c r="BA121" s="301" t="n"/>
      <c r="BB121" s="301" t="n"/>
      <c r="BC121" s="301" t="n"/>
      <c r="BD121" s="302" t="n">
        <v>94</v>
      </c>
      <c r="BE121" s="302" t="n">
        <v>0.0002102</v>
      </c>
      <c r="BF121" s="302">
        <f>-Radwag[[#This Row],[Error]]</f>
        <v/>
      </c>
      <c r="BG121" s="376" t="n"/>
      <c r="BH121" s="376" t="n"/>
    </row>
    <row r="122">
      <c r="AO122" s="301" t="n"/>
      <c r="AP122" s="301" t="n"/>
      <c r="AQ122" s="301" t="n"/>
      <c r="AR122" s="301" t="n"/>
      <c r="AS122" s="301" t="n"/>
      <c r="AT122" s="301" t="n"/>
      <c r="AU122" s="301" t="n"/>
      <c r="AV122" s="301" t="n"/>
      <c r="AW122" s="301" t="n"/>
      <c r="AX122" s="301" t="n"/>
      <c r="AY122" s="301" t="n"/>
      <c r="AZ122" s="301" t="n"/>
      <c r="BA122" s="301" t="n"/>
      <c r="BB122" s="301" t="n"/>
      <c r="BC122" s="301" t="n"/>
      <c r="BD122" s="302" t="n">
        <v>95</v>
      </c>
      <c r="BE122" s="302" t="n">
        <v>0.0002085</v>
      </c>
      <c r="BF122" s="302">
        <f>-Radwag[[#This Row],[Error]]</f>
        <v/>
      </c>
      <c r="BG122" s="376" t="n"/>
      <c r="BH122" s="376" t="n"/>
    </row>
    <row r="123">
      <c r="AO123" s="301" t="n"/>
      <c r="AP123" s="301" t="n"/>
      <c r="AQ123" s="301" t="n"/>
      <c r="AR123" s="301" t="n"/>
      <c r="AS123" s="301" t="n"/>
      <c r="AT123" s="301" t="n"/>
      <c r="AU123" s="301" t="n"/>
      <c r="AV123" s="301" t="n"/>
      <c r="AW123" s="301" t="n"/>
      <c r="AX123" s="301" t="n"/>
      <c r="AY123" s="301" t="n"/>
      <c r="AZ123" s="301" t="n"/>
      <c r="BA123" s="301" t="n"/>
      <c r="BB123" s="301" t="n"/>
      <c r="BC123" s="301" t="n"/>
      <c r="BD123" s="302" t="n">
        <v>96</v>
      </c>
      <c r="BE123" s="302" t="n">
        <v>0.0002068</v>
      </c>
      <c r="BF123" s="302">
        <f>-Radwag[[#This Row],[Error]]</f>
        <v/>
      </c>
      <c r="BG123" s="376" t="n"/>
      <c r="BH123" s="376" t="n"/>
    </row>
    <row r="124">
      <c r="AO124" s="301" t="n"/>
      <c r="AP124" s="301" t="n"/>
      <c r="AQ124" s="301" t="n"/>
      <c r="AR124" s="301" t="n"/>
      <c r="AS124" s="301" t="n"/>
      <c r="AT124" s="301" t="n"/>
      <c r="AU124" s="301" t="n"/>
      <c r="AV124" s="301" t="n"/>
      <c r="AW124" s="301" t="n"/>
      <c r="AX124" s="301" t="n"/>
      <c r="AY124" s="301" t="n"/>
      <c r="AZ124" s="301" t="n"/>
      <c r="BA124" s="301" t="n"/>
      <c r="BB124" s="301" t="n"/>
      <c r="BC124" s="301" t="n"/>
      <c r="BD124" s="302" t="n">
        <v>97</v>
      </c>
      <c r="BE124" s="302" t="n">
        <v>0.0002051</v>
      </c>
      <c r="BF124" s="302">
        <f>-Radwag[[#This Row],[Error]]</f>
        <v/>
      </c>
      <c r="BG124" s="376" t="n"/>
      <c r="BH124" s="376" t="n"/>
    </row>
    <row r="125">
      <c r="AO125" s="301" t="n"/>
      <c r="AP125" s="301" t="n"/>
      <c r="AQ125" s="301" t="n"/>
      <c r="AR125" s="301" t="n"/>
      <c r="AS125" s="301" t="n"/>
      <c r="AT125" s="301" t="n"/>
      <c r="AU125" s="301" t="n"/>
      <c r="AV125" s="301" t="n"/>
      <c r="AW125" s="301" t="n"/>
      <c r="AX125" s="301" t="n"/>
      <c r="AY125" s="301" t="n"/>
      <c r="AZ125" s="301" t="n"/>
      <c r="BA125" s="301" t="n"/>
      <c r="BB125" s="301" t="n"/>
      <c r="BC125" s="301" t="n"/>
      <c r="BD125" s="302" t="n">
        <v>98</v>
      </c>
      <c r="BE125" s="302" t="n">
        <v>0.0002034</v>
      </c>
      <c r="BF125" s="302">
        <f>-Radwag[[#This Row],[Error]]</f>
        <v/>
      </c>
      <c r="BG125" s="376" t="n"/>
      <c r="BH125" s="376" t="n"/>
    </row>
    <row r="126">
      <c r="AO126" s="301" t="n"/>
      <c r="AP126" s="301" t="n"/>
      <c r="AQ126" s="301" t="n"/>
      <c r="AR126" s="301" t="n"/>
      <c r="AS126" s="301" t="n"/>
      <c r="AT126" s="301" t="n"/>
      <c r="AU126" s="301" t="n"/>
      <c r="AV126" s="301" t="n"/>
      <c r="AW126" s="301" t="n"/>
      <c r="AX126" s="301" t="n"/>
      <c r="AY126" s="301" t="n"/>
      <c r="AZ126" s="301" t="n"/>
      <c r="BA126" s="301" t="n"/>
      <c r="BB126" s="301" t="n"/>
      <c r="BC126" s="301" t="n"/>
      <c r="BD126" s="302" t="n">
        <v>99</v>
      </c>
      <c r="BE126" s="302" t="n">
        <v>0.0002017</v>
      </c>
      <c r="BF126" s="302">
        <f>-Radwag[[#This Row],[Error]]</f>
        <v/>
      </c>
      <c r="BG126" s="376" t="n"/>
      <c r="BH126" s="376" t="n"/>
    </row>
    <row r="127">
      <c r="AO127" s="301" t="n"/>
      <c r="AP127" s="301" t="n"/>
      <c r="AQ127" s="301" t="n"/>
      <c r="AR127" s="301" t="n"/>
      <c r="AS127" s="301" t="n"/>
      <c r="AT127" s="301" t="n"/>
      <c r="AU127" s="301" t="n"/>
      <c r="AV127" s="301" t="n"/>
      <c r="AW127" s="301" t="n"/>
      <c r="AX127" s="301" t="n"/>
      <c r="AY127" s="301" t="n"/>
      <c r="AZ127" s="301" t="n"/>
      <c r="BA127" s="301" t="n"/>
      <c r="BB127" s="301" t="n"/>
      <c r="BC127" s="301" t="n"/>
      <c r="BD127" s="302" t="n">
        <v>100</v>
      </c>
      <c r="BE127" s="302" t="n">
        <v>0.0002</v>
      </c>
      <c r="BF127" s="302">
        <f>-Radwag[[#This Row],[Error]]</f>
        <v/>
      </c>
      <c r="BG127" s="376" t="n"/>
      <c r="BH127" s="376" t="n"/>
    </row>
    <row r="128">
      <c r="AO128" s="301" t="n"/>
      <c r="AP128" s="301" t="n"/>
      <c r="AQ128" s="301" t="n"/>
      <c r="AR128" s="301" t="n"/>
      <c r="AS128" s="301" t="n"/>
      <c r="AT128" s="301" t="n"/>
      <c r="AU128" s="301" t="n"/>
      <c r="AV128" s="301" t="n"/>
      <c r="AW128" s="301" t="n"/>
      <c r="AX128" s="301" t="n"/>
      <c r="AY128" s="301" t="n"/>
      <c r="AZ128" s="301" t="n"/>
      <c r="BA128" s="301" t="n"/>
      <c r="BB128" s="301" t="n"/>
      <c r="BC128" s="301" t="n"/>
      <c r="BD128" s="302" t="n">
        <v>101</v>
      </c>
      <c r="BE128" s="302" t="n">
        <v>0.000203</v>
      </c>
      <c r="BF128" s="302">
        <f>-Radwag[[#This Row],[Error]]</f>
        <v/>
      </c>
      <c r="BG128" s="376" t="n"/>
      <c r="BH128" s="376" t="n"/>
    </row>
    <row r="129">
      <c r="AO129" s="301" t="n"/>
      <c r="AP129" s="301" t="n"/>
      <c r="AQ129" s="301" t="n"/>
      <c r="AR129" s="301" t="n"/>
      <c r="AS129" s="301" t="n"/>
      <c r="AT129" s="301" t="n"/>
      <c r="AU129" s="301" t="n"/>
      <c r="AV129" s="301" t="n"/>
      <c r="AW129" s="301" t="n"/>
      <c r="AX129" s="301" t="n"/>
      <c r="AY129" s="301" t="n"/>
      <c r="AZ129" s="301" t="n"/>
      <c r="BA129" s="301" t="n"/>
      <c r="BB129" s="301" t="n"/>
      <c r="BC129" s="301" t="n"/>
      <c r="BD129" s="302" t="n">
        <v>102</v>
      </c>
      <c r="BE129" s="302" t="n">
        <v>0.000206</v>
      </c>
      <c r="BF129" s="302">
        <f>-Radwag[[#This Row],[Error]]</f>
        <v/>
      </c>
      <c r="BG129" s="376" t="n"/>
      <c r="BH129" s="376" t="n"/>
    </row>
    <row r="130">
      <c r="AO130" s="301" t="n"/>
      <c r="AP130" s="301" t="n"/>
      <c r="AQ130" s="301" t="n"/>
      <c r="AR130" s="301" t="n"/>
      <c r="AS130" s="301" t="n"/>
      <c r="AT130" s="301" t="n"/>
      <c r="AU130" s="301" t="n"/>
      <c r="AV130" s="301" t="n"/>
      <c r="AW130" s="301" t="n"/>
      <c r="AX130" s="301" t="n"/>
      <c r="AY130" s="301" t="n"/>
      <c r="AZ130" s="301" t="n"/>
      <c r="BA130" s="301" t="n"/>
      <c r="BB130" s="301" t="n"/>
      <c r="BC130" s="301" t="n"/>
      <c r="BD130" s="302" t="n">
        <v>103</v>
      </c>
      <c r="BE130" s="302" t="n">
        <v>0.000209</v>
      </c>
      <c r="BF130" s="302">
        <f>-Radwag[[#This Row],[Error]]</f>
        <v/>
      </c>
      <c r="BG130" s="376" t="n"/>
      <c r="BH130" s="376" t="n"/>
    </row>
    <row r="131">
      <c r="AO131" s="301" t="n"/>
      <c r="AP131" s="301" t="n"/>
      <c r="AQ131" s="301" t="n"/>
      <c r="AR131" s="301" t="n"/>
      <c r="AS131" s="301" t="n"/>
      <c r="AT131" s="301" t="n"/>
      <c r="AU131" s="301" t="n"/>
      <c r="AV131" s="301" t="n"/>
      <c r="AW131" s="301" t="n"/>
      <c r="AX131" s="301" t="n"/>
      <c r="AY131" s="301" t="n"/>
      <c r="AZ131" s="301" t="n"/>
      <c r="BA131" s="301" t="n"/>
      <c r="BB131" s="301" t="n"/>
      <c r="BC131" s="301" t="n"/>
      <c r="BD131" s="302" t="n">
        <v>104</v>
      </c>
      <c r="BE131" s="302" t="n">
        <v>0.000212</v>
      </c>
      <c r="BF131" s="302">
        <f>-Radwag[[#This Row],[Error]]</f>
        <v/>
      </c>
      <c r="BG131" s="376" t="n"/>
      <c r="BH131" s="376" t="n"/>
    </row>
    <row r="132">
      <c r="AO132" s="301" t="n"/>
      <c r="AP132" s="301" t="n"/>
      <c r="AQ132" s="301" t="n"/>
      <c r="AR132" s="301" t="n"/>
      <c r="AS132" s="301" t="n"/>
      <c r="AT132" s="301" t="n"/>
      <c r="AU132" s="301" t="n"/>
      <c r="AV132" s="301" t="n"/>
      <c r="AW132" s="301" t="n"/>
      <c r="AX132" s="301" t="n"/>
      <c r="AY132" s="301" t="n"/>
      <c r="AZ132" s="301" t="n"/>
      <c r="BA132" s="301" t="n"/>
      <c r="BB132" s="301" t="n"/>
      <c r="BC132" s="301" t="n"/>
      <c r="BD132" s="302" t="n">
        <v>105</v>
      </c>
      <c r="BE132" s="302" t="n">
        <v>0.000215</v>
      </c>
      <c r="BF132" s="302">
        <f>-Radwag[[#This Row],[Error]]</f>
        <v/>
      </c>
      <c r="BG132" s="376" t="n"/>
      <c r="BH132" s="376" t="n"/>
    </row>
    <row r="133">
      <c r="AO133" s="301" t="n"/>
      <c r="AP133" s="301" t="n"/>
      <c r="AQ133" s="301" t="n"/>
      <c r="AR133" s="301" t="n"/>
      <c r="AS133" s="301" t="n"/>
      <c r="AT133" s="301" t="n"/>
      <c r="AU133" s="301" t="n"/>
      <c r="AV133" s="301" t="n"/>
      <c r="AW133" s="301" t="n"/>
      <c r="AX133" s="301" t="n"/>
      <c r="AY133" s="301" t="n"/>
      <c r="AZ133" s="301" t="n"/>
      <c r="BA133" s="301" t="n"/>
      <c r="BB133" s="301" t="n"/>
      <c r="BC133" s="301" t="n"/>
      <c r="BD133" s="302" t="n">
        <v>106</v>
      </c>
      <c r="BE133" s="302" t="n">
        <v>0.000218</v>
      </c>
      <c r="BF133" s="302">
        <f>-Radwag[[#This Row],[Error]]</f>
        <v/>
      </c>
      <c r="BG133" s="376" t="n"/>
      <c r="BH133" s="376" t="n"/>
    </row>
    <row r="134">
      <c r="AO134" s="301" t="n"/>
      <c r="AP134" s="301" t="n"/>
      <c r="AQ134" s="301" t="n"/>
      <c r="AR134" s="301" t="n"/>
      <c r="AS134" s="301" t="n"/>
      <c r="AT134" s="301" t="n"/>
      <c r="AU134" s="301" t="n"/>
      <c r="AV134" s="301" t="n"/>
      <c r="AW134" s="301" t="n"/>
      <c r="AX134" s="301" t="n"/>
      <c r="AY134" s="301" t="n"/>
      <c r="AZ134" s="301" t="n"/>
      <c r="BA134" s="301" t="n"/>
      <c r="BB134" s="301" t="n"/>
      <c r="BC134" s="301" t="n"/>
      <c r="BD134" s="302" t="n">
        <v>107</v>
      </c>
      <c r="BE134" s="302" t="n">
        <v>0.000221</v>
      </c>
      <c r="BF134" s="302">
        <f>-Radwag[[#This Row],[Error]]</f>
        <v/>
      </c>
      <c r="BG134" s="376" t="n"/>
      <c r="BH134" s="376" t="n"/>
    </row>
    <row r="135">
      <c r="AO135" s="301" t="n"/>
      <c r="AP135" s="301" t="n"/>
      <c r="AQ135" s="301" t="n"/>
      <c r="AR135" s="301" t="n"/>
      <c r="AS135" s="301" t="n"/>
      <c r="AT135" s="301" t="n"/>
      <c r="AU135" s="301" t="n"/>
      <c r="AV135" s="301" t="n"/>
      <c r="AW135" s="301" t="n"/>
      <c r="AX135" s="301" t="n"/>
      <c r="AY135" s="301" t="n"/>
      <c r="AZ135" s="301" t="n"/>
      <c r="BA135" s="301" t="n"/>
      <c r="BB135" s="301" t="n"/>
      <c r="BC135" s="301" t="n"/>
      <c r="BD135" s="302" t="n">
        <v>108</v>
      </c>
      <c r="BE135" s="302" t="n">
        <v>0.000224</v>
      </c>
      <c r="BF135" s="302">
        <f>-Radwag[[#This Row],[Error]]</f>
        <v/>
      </c>
      <c r="BG135" s="376" t="n"/>
      <c r="BH135" s="376" t="n"/>
    </row>
    <row r="136">
      <c r="AO136" s="301" t="n"/>
      <c r="AP136" s="301" t="n"/>
      <c r="AQ136" s="301" t="n"/>
      <c r="AR136" s="301" t="n"/>
      <c r="AS136" s="301" t="n"/>
      <c r="AT136" s="301" t="n"/>
      <c r="AU136" s="301" t="n"/>
      <c r="AV136" s="301" t="n"/>
      <c r="AW136" s="301" t="n"/>
      <c r="AX136" s="301" t="n"/>
      <c r="AY136" s="301" t="n"/>
      <c r="AZ136" s="301" t="n"/>
      <c r="BA136" s="301" t="n"/>
      <c r="BB136" s="301" t="n"/>
      <c r="BC136" s="301" t="n"/>
      <c r="BD136" s="302" t="n">
        <v>109</v>
      </c>
      <c r="BE136" s="302" t="n">
        <v>0.000227</v>
      </c>
      <c r="BF136" s="302">
        <f>-Radwag[[#This Row],[Error]]</f>
        <v/>
      </c>
      <c r="BG136" s="376" t="n"/>
      <c r="BH136" s="376" t="n"/>
    </row>
    <row r="137">
      <c r="AO137" s="301" t="n"/>
      <c r="AP137" s="301" t="n"/>
      <c r="AQ137" s="301" t="n"/>
      <c r="AR137" s="301" t="n"/>
      <c r="AS137" s="301" t="n"/>
      <c r="AT137" s="301" t="n"/>
      <c r="AU137" s="301" t="n"/>
      <c r="AV137" s="301" t="n"/>
      <c r="AW137" s="301" t="n"/>
      <c r="AX137" s="301" t="n"/>
      <c r="AY137" s="301" t="n"/>
      <c r="AZ137" s="301" t="n"/>
      <c r="BA137" s="301" t="n"/>
      <c r="BB137" s="301" t="n"/>
      <c r="BC137" s="301" t="n"/>
      <c r="BD137" s="302" t="n">
        <v>110</v>
      </c>
      <c r="BE137" s="302" t="n">
        <v>0.00023</v>
      </c>
      <c r="BF137" s="302">
        <f>-Radwag[[#This Row],[Error]]</f>
        <v/>
      </c>
      <c r="BG137" s="376" t="n"/>
      <c r="BH137" s="376" t="n"/>
    </row>
    <row r="138">
      <c r="AO138" s="301" t="n"/>
      <c r="AP138" s="301" t="n"/>
      <c r="AQ138" s="301" t="n"/>
      <c r="AR138" s="301" t="n"/>
      <c r="AS138" s="301" t="n"/>
      <c r="AT138" s="301" t="n"/>
      <c r="AU138" s="301" t="n"/>
      <c r="AV138" s="301" t="n"/>
      <c r="AW138" s="301" t="n"/>
      <c r="AX138" s="301" t="n"/>
      <c r="AY138" s="301" t="n"/>
      <c r="AZ138" s="301" t="n"/>
      <c r="BA138" s="301" t="n"/>
      <c r="BB138" s="301" t="n"/>
      <c r="BC138" s="301" t="n"/>
      <c r="BD138" s="302" t="n">
        <v>111</v>
      </c>
      <c r="BE138" s="302" t="n">
        <v>0.000233</v>
      </c>
      <c r="BF138" s="302">
        <f>-Radwag[[#This Row],[Error]]</f>
        <v/>
      </c>
      <c r="BG138" s="376" t="n"/>
      <c r="BH138" s="376" t="n"/>
    </row>
    <row r="139">
      <c r="AO139" s="301" t="n"/>
      <c r="AP139" s="301" t="n"/>
      <c r="AQ139" s="301" t="n"/>
      <c r="AR139" s="301" t="n"/>
      <c r="AS139" s="301" t="n"/>
      <c r="AT139" s="301" t="n"/>
      <c r="AU139" s="301" t="n"/>
      <c r="AV139" s="301" t="n"/>
      <c r="AW139" s="301" t="n"/>
      <c r="AX139" s="301" t="n"/>
      <c r="AY139" s="301" t="n"/>
      <c r="AZ139" s="301" t="n"/>
      <c r="BA139" s="301" t="n"/>
      <c r="BB139" s="301" t="n"/>
      <c r="BC139" s="301" t="n"/>
      <c r="BD139" s="302" t="n">
        <v>112</v>
      </c>
      <c r="BE139" s="302" t="n">
        <v>0.000236</v>
      </c>
      <c r="BF139" s="302">
        <f>-Radwag[[#This Row],[Error]]</f>
        <v/>
      </c>
      <c r="BG139" s="376" t="n"/>
      <c r="BH139" s="376" t="n"/>
    </row>
    <row r="140">
      <c r="AO140" s="301" t="n"/>
      <c r="AP140" s="301" t="n"/>
      <c r="AQ140" s="301" t="n"/>
      <c r="AR140" s="301" t="n"/>
      <c r="AS140" s="301" t="n"/>
      <c r="AT140" s="301" t="n"/>
      <c r="AU140" s="301" t="n"/>
      <c r="AV140" s="301" t="n"/>
      <c r="AW140" s="301" t="n"/>
      <c r="AX140" s="301" t="n"/>
      <c r="AY140" s="301" t="n"/>
      <c r="AZ140" s="301" t="n"/>
      <c r="BA140" s="301" t="n"/>
      <c r="BB140" s="301" t="n"/>
      <c r="BC140" s="301" t="n"/>
      <c r="BD140" s="302" t="n">
        <v>113</v>
      </c>
      <c r="BE140" s="302" t="n">
        <v>0.000239</v>
      </c>
      <c r="BF140" s="302">
        <f>-Radwag[[#This Row],[Error]]</f>
        <v/>
      </c>
      <c r="BG140" s="376" t="n"/>
      <c r="BH140" s="376" t="n"/>
    </row>
    <row r="141">
      <c r="AO141" s="301" t="n"/>
      <c r="AP141" s="301" t="n"/>
      <c r="AQ141" s="301" t="n"/>
      <c r="AR141" s="301" t="n"/>
      <c r="AS141" s="301" t="n"/>
      <c r="AT141" s="301" t="n"/>
      <c r="AU141" s="301" t="n"/>
      <c r="AV141" s="301" t="n"/>
      <c r="AW141" s="301" t="n"/>
      <c r="AX141" s="301" t="n"/>
      <c r="AY141" s="301" t="n"/>
      <c r="AZ141" s="301" t="n"/>
      <c r="BA141" s="301" t="n"/>
      <c r="BB141" s="301" t="n"/>
      <c r="BC141" s="301" t="n"/>
      <c r="BD141" s="302" t="n">
        <v>114</v>
      </c>
      <c r="BE141" s="302" t="n">
        <v>0.000242</v>
      </c>
      <c r="BF141" s="302">
        <f>-Radwag[[#This Row],[Error]]</f>
        <v/>
      </c>
      <c r="BG141" s="376" t="n"/>
      <c r="BH141" s="376" t="n"/>
    </row>
    <row r="142">
      <c r="AO142" s="301" t="n"/>
      <c r="AP142" s="301" t="n"/>
      <c r="AQ142" s="301" t="n"/>
      <c r="AR142" s="301" t="n"/>
      <c r="AS142" s="301" t="n"/>
      <c r="AT142" s="301" t="n"/>
      <c r="AU142" s="301" t="n"/>
      <c r="AV142" s="301" t="n"/>
      <c r="AW142" s="301" t="n"/>
      <c r="AX142" s="301" t="n"/>
      <c r="AY142" s="301" t="n"/>
      <c r="AZ142" s="301" t="n"/>
      <c r="BA142" s="301" t="n"/>
      <c r="BB142" s="301" t="n"/>
      <c r="BC142" s="301" t="n"/>
      <c r="BD142" s="302" t="n">
        <v>115</v>
      </c>
      <c r="BE142" s="302" t="n">
        <v>0.000245</v>
      </c>
      <c r="BF142" s="302">
        <f>-Radwag[[#This Row],[Error]]</f>
        <v/>
      </c>
      <c r="BG142" s="376" t="n"/>
      <c r="BH142" s="376" t="n"/>
    </row>
    <row r="143">
      <c r="AO143" s="301" t="n"/>
      <c r="AP143" s="301" t="n"/>
      <c r="AQ143" s="301" t="n"/>
      <c r="AR143" s="301" t="n"/>
      <c r="AS143" s="301" t="n"/>
      <c r="AT143" s="301" t="n"/>
      <c r="AU143" s="301" t="n"/>
      <c r="AV143" s="301" t="n"/>
      <c r="AW143" s="301" t="n"/>
      <c r="AX143" s="301" t="n"/>
      <c r="AY143" s="301" t="n"/>
      <c r="AZ143" s="301" t="n"/>
      <c r="BA143" s="301" t="n"/>
      <c r="BB143" s="301" t="n"/>
      <c r="BC143" s="301" t="n"/>
      <c r="BD143" s="302" t="n">
        <v>116</v>
      </c>
      <c r="BE143" s="302" t="n">
        <v>0.000248</v>
      </c>
      <c r="BF143" s="302">
        <f>-Radwag[[#This Row],[Error]]</f>
        <v/>
      </c>
      <c r="BG143" s="376" t="n"/>
      <c r="BH143" s="376" t="n"/>
    </row>
    <row r="144">
      <c r="AO144" s="301" t="n"/>
      <c r="AP144" s="301" t="n"/>
      <c r="AQ144" s="301" t="n"/>
      <c r="AR144" s="301" t="n"/>
      <c r="AS144" s="301" t="n"/>
      <c r="AT144" s="301" t="n"/>
      <c r="AU144" s="301" t="n"/>
      <c r="AV144" s="301" t="n"/>
      <c r="AW144" s="301" t="n"/>
      <c r="AX144" s="301" t="n"/>
      <c r="AY144" s="301" t="n"/>
      <c r="AZ144" s="301" t="n"/>
      <c r="BA144" s="301" t="n"/>
      <c r="BB144" s="301" t="n"/>
      <c r="BC144" s="301" t="n"/>
      <c r="BD144" s="302" t="n">
        <v>117</v>
      </c>
      <c r="BE144" s="302" t="n">
        <v>0.000251</v>
      </c>
      <c r="BF144" s="302">
        <f>-Radwag[[#This Row],[Error]]</f>
        <v/>
      </c>
      <c r="BG144" s="376" t="n"/>
      <c r="BH144" s="376" t="n"/>
    </row>
    <row r="145">
      <c r="AO145" s="301" t="n"/>
      <c r="AP145" s="301" t="n"/>
      <c r="AQ145" s="301" t="n"/>
      <c r="AR145" s="301" t="n"/>
      <c r="AS145" s="301" t="n"/>
      <c r="AT145" s="301" t="n"/>
      <c r="AU145" s="301" t="n"/>
      <c r="AV145" s="301" t="n"/>
      <c r="AW145" s="301" t="n"/>
      <c r="AX145" s="301" t="n"/>
      <c r="AY145" s="301" t="n"/>
      <c r="AZ145" s="301" t="n"/>
      <c r="BA145" s="301" t="n"/>
      <c r="BB145" s="301" t="n"/>
      <c r="BC145" s="301" t="n"/>
      <c r="BD145" s="302" t="n">
        <v>118</v>
      </c>
      <c r="BE145" s="302" t="n">
        <v>0.000254</v>
      </c>
      <c r="BF145" s="302">
        <f>-Radwag[[#This Row],[Error]]</f>
        <v/>
      </c>
      <c r="BG145" s="376" t="n"/>
      <c r="BH145" s="376" t="n"/>
    </row>
    <row r="146">
      <c r="AO146" s="301" t="n"/>
      <c r="AP146" s="301" t="n"/>
      <c r="AQ146" s="301" t="n"/>
      <c r="AR146" s="301" t="n"/>
      <c r="AS146" s="301" t="n"/>
      <c r="AT146" s="301" t="n"/>
      <c r="AU146" s="301" t="n"/>
      <c r="AV146" s="301" t="n"/>
      <c r="AW146" s="301" t="n"/>
      <c r="AX146" s="301" t="n"/>
      <c r="AY146" s="301" t="n"/>
      <c r="AZ146" s="301" t="n"/>
      <c r="BA146" s="301" t="n"/>
      <c r="BB146" s="301" t="n"/>
      <c r="BC146" s="301" t="n"/>
      <c r="BD146" s="302" t="n">
        <v>119</v>
      </c>
      <c r="BE146" s="302" t="n">
        <v>0.000257</v>
      </c>
      <c r="BF146" s="302">
        <f>-Radwag[[#This Row],[Error]]</f>
        <v/>
      </c>
      <c r="BG146" s="376" t="n"/>
      <c r="BH146" s="376" t="n"/>
    </row>
    <row r="147">
      <c r="AO147" s="301" t="n"/>
      <c r="AP147" s="301" t="n"/>
      <c r="AQ147" s="301" t="n"/>
      <c r="AR147" s="301" t="n"/>
      <c r="AS147" s="301" t="n"/>
      <c r="AT147" s="301" t="n"/>
      <c r="AU147" s="301" t="n"/>
      <c r="AV147" s="301" t="n"/>
      <c r="AW147" s="301" t="n"/>
      <c r="AX147" s="301" t="n"/>
      <c r="AY147" s="301" t="n"/>
      <c r="AZ147" s="301" t="n"/>
      <c r="BA147" s="301" t="n"/>
      <c r="BB147" s="301" t="n"/>
      <c r="BC147" s="301" t="n"/>
      <c r="BD147" s="302" t="n">
        <v>120</v>
      </c>
      <c r="BE147" s="302" t="n">
        <v>0.00026</v>
      </c>
      <c r="BF147" s="302">
        <f>-Radwag[[#This Row],[Error]]</f>
        <v/>
      </c>
      <c r="BG147" s="376" t="n"/>
      <c r="BH147" s="376" t="n"/>
    </row>
    <row r="148">
      <c r="AO148" s="301" t="n"/>
      <c r="AP148" s="301" t="n"/>
      <c r="AQ148" s="301" t="n"/>
      <c r="AR148" s="301" t="n"/>
      <c r="AS148" s="301" t="n"/>
      <c r="AT148" s="301" t="n"/>
      <c r="AU148" s="301" t="n"/>
      <c r="AV148" s="301" t="n"/>
      <c r="AW148" s="301" t="n"/>
      <c r="AX148" s="301" t="n"/>
      <c r="AY148" s="301" t="n"/>
      <c r="AZ148" s="301" t="n"/>
      <c r="BA148" s="301" t="n"/>
      <c r="BB148" s="301" t="n"/>
      <c r="BC148" s="301" t="n"/>
      <c r="BD148" s="302" t="n">
        <v>121</v>
      </c>
      <c r="BE148" s="302" t="n">
        <v>0.000263</v>
      </c>
      <c r="BF148" s="302">
        <f>-Radwag[[#This Row],[Error]]</f>
        <v/>
      </c>
      <c r="BG148" s="376" t="n"/>
      <c r="BH148" s="376" t="n"/>
    </row>
    <row r="149">
      <c r="AO149" s="301" t="n"/>
      <c r="AP149" s="301" t="n"/>
      <c r="AQ149" s="301" t="n"/>
      <c r="AR149" s="301" t="n"/>
      <c r="AS149" s="301" t="n"/>
      <c r="AT149" s="301" t="n"/>
      <c r="AU149" s="301" t="n"/>
      <c r="AV149" s="301" t="n"/>
      <c r="AW149" s="301" t="n"/>
      <c r="AX149" s="301" t="n"/>
      <c r="AY149" s="301" t="n"/>
      <c r="AZ149" s="301" t="n"/>
      <c r="BA149" s="301" t="n"/>
      <c r="BB149" s="301" t="n"/>
      <c r="BC149" s="301" t="n"/>
      <c r="BD149" s="302" t="n">
        <v>122</v>
      </c>
      <c r="BE149" s="302" t="n">
        <v>0.000266</v>
      </c>
      <c r="BF149" s="302">
        <f>-Radwag[[#This Row],[Error]]</f>
        <v/>
      </c>
      <c r="BG149" s="376" t="n"/>
      <c r="BH149" s="376" t="n"/>
    </row>
    <row r="150">
      <c r="AO150" s="301" t="n"/>
      <c r="AP150" s="301" t="n"/>
      <c r="AQ150" s="301" t="n"/>
      <c r="AR150" s="301" t="n"/>
      <c r="AS150" s="301" t="n"/>
      <c r="AT150" s="301" t="n"/>
      <c r="AU150" s="301" t="n"/>
      <c r="AV150" s="301" t="n"/>
      <c r="AW150" s="301" t="n"/>
      <c r="AX150" s="301" t="n"/>
      <c r="AY150" s="301" t="n"/>
      <c r="AZ150" s="301" t="n"/>
      <c r="BA150" s="301" t="n"/>
      <c r="BB150" s="301" t="n"/>
      <c r="BC150" s="301" t="n"/>
      <c r="BD150" s="302" t="n">
        <v>123</v>
      </c>
      <c r="BE150" s="302" t="n">
        <v>0.000269</v>
      </c>
      <c r="BF150" s="302">
        <f>-Radwag[[#This Row],[Error]]</f>
        <v/>
      </c>
      <c r="BG150" s="376" t="n"/>
      <c r="BH150" s="376" t="n"/>
    </row>
    <row r="151">
      <c r="AO151" s="301" t="n"/>
      <c r="AP151" s="301" t="n"/>
      <c r="AQ151" s="301" t="n"/>
      <c r="AR151" s="301" t="n"/>
      <c r="AS151" s="301" t="n"/>
      <c r="AT151" s="301" t="n"/>
      <c r="AU151" s="301" t="n"/>
      <c r="AV151" s="301" t="n"/>
      <c r="AW151" s="301" t="n"/>
      <c r="AX151" s="301" t="n"/>
      <c r="AY151" s="301" t="n"/>
      <c r="AZ151" s="301" t="n"/>
      <c r="BA151" s="301" t="n"/>
      <c r="BB151" s="301" t="n"/>
      <c r="BC151" s="301" t="n"/>
      <c r="BD151" s="302" t="n">
        <v>124</v>
      </c>
      <c r="BE151" s="302" t="n">
        <v>0.000272</v>
      </c>
      <c r="BF151" s="302">
        <f>-Radwag[[#This Row],[Error]]</f>
        <v/>
      </c>
      <c r="BG151" s="376" t="n"/>
      <c r="BH151" s="376" t="n"/>
    </row>
    <row r="152">
      <c r="AO152" s="301" t="n"/>
      <c r="AP152" s="301" t="n"/>
      <c r="AQ152" s="301" t="n"/>
      <c r="AR152" s="301" t="n"/>
      <c r="AS152" s="301" t="n"/>
      <c r="AT152" s="301" t="n"/>
      <c r="AU152" s="301" t="n"/>
      <c r="AV152" s="301" t="n"/>
      <c r="AW152" s="301" t="n"/>
      <c r="AX152" s="301" t="n"/>
      <c r="AY152" s="301" t="n"/>
      <c r="AZ152" s="301" t="n"/>
      <c r="BA152" s="301" t="n"/>
      <c r="BB152" s="301" t="n"/>
      <c r="BC152" s="301" t="n"/>
      <c r="BD152" s="302" t="n">
        <v>125</v>
      </c>
      <c r="BE152" s="302" t="n">
        <v>0.000275</v>
      </c>
      <c r="BF152" s="302">
        <f>-Radwag[[#This Row],[Error]]</f>
        <v/>
      </c>
      <c r="BG152" s="376" t="n"/>
      <c r="BH152" s="376" t="n"/>
    </row>
    <row r="153">
      <c r="AO153" s="301" t="n"/>
      <c r="AP153" s="301" t="n"/>
      <c r="AQ153" s="301" t="n"/>
      <c r="AR153" s="301" t="n"/>
      <c r="AS153" s="301" t="n"/>
      <c r="AT153" s="301" t="n"/>
      <c r="AU153" s="301" t="n"/>
      <c r="AV153" s="301" t="n"/>
      <c r="AW153" s="301" t="n"/>
      <c r="AX153" s="301" t="n"/>
      <c r="AY153" s="301" t="n"/>
      <c r="AZ153" s="301" t="n"/>
      <c r="BA153" s="301" t="n"/>
      <c r="BB153" s="301" t="n"/>
      <c r="BC153" s="301" t="n"/>
      <c r="BD153" s="302" t="n">
        <v>126</v>
      </c>
      <c r="BE153" s="302" t="n">
        <v>0.000278</v>
      </c>
      <c r="BF153" s="302">
        <f>-Radwag[[#This Row],[Error]]</f>
        <v/>
      </c>
      <c r="BG153" s="376" t="n"/>
      <c r="BH153" s="376" t="n"/>
    </row>
    <row r="154">
      <c r="AO154" s="301" t="n"/>
      <c r="AP154" s="301" t="n"/>
      <c r="AQ154" s="301" t="n"/>
      <c r="AR154" s="301" t="n"/>
      <c r="AS154" s="301" t="n"/>
      <c r="AT154" s="301" t="n"/>
      <c r="AU154" s="301" t="n"/>
      <c r="AV154" s="301" t="n"/>
      <c r="AW154" s="301" t="n"/>
      <c r="AX154" s="301" t="n"/>
      <c r="AY154" s="301" t="n"/>
      <c r="AZ154" s="301" t="n"/>
      <c r="BA154" s="301" t="n"/>
      <c r="BB154" s="301" t="n"/>
      <c r="BC154" s="301" t="n"/>
      <c r="BD154" s="302" t="n">
        <v>127</v>
      </c>
      <c r="BE154" s="302" t="n">
        <v>0.000281</v>
      </c>
      <c r="BF154" s="302">
        <f>-Radwag[[#This Row],[Error]]</f>
        <v/>
      </c>
      <c r="BG154" s="376" t="n"/>
      <c r="BH154" s="376" t="n"/>
    </row>
    <row r="155">
      <c r="AO155" s="301" t="n"/>
      <c r="AP155" s="301" t="n"/>
      <c r="AQ155" s="301" t="n"/>
      <c r="AR155" s="301" t="n"/>
      <c r="AS155" s="301" t="n"/>
      <c r="AT155" s="301" t="n"/>
      <c r="AU155" s="301" t="n"/>
      <c r="AV155" s="301" t="n"/>
      <c r="AW155" s="301" t="n"/>
      <c r="AX155" s="301" t="n"/>
      <c r="AY155" s="301" t="n"/>
      <c r="AZ155" s="301" t="n"/>
      <c r="BA155" s="301" t="n"/>
      <c r="BB155" s="301" t="n"/>
      <c r="BC155" s="301" t="n"/>
      <c r="BD155" s="302" t="n">
        <v>128</v>
      </c>
      <c r="BE155" s="302" t="n">
        <v>0.000284</v>
      </c>
      <c r="BF155" s="302">
        <f>-Radwag[[#This Row],[Error]]</f>
        <v/>
      </c>
      <c r="BG155" s="376" t="n"/>
      <c r="BH155" s="376" t="n"/>
    </row>
    <row r="156">
      <c r="AO156" s="301" t="n"/>
      <c r="AP156" s="301" t="n"/>
      <c r="AQ156" s="301" t="n"/>
      <c r="AR156" s="301" t="n"/>
      <c r="AS156" s="301" t="n"/>
      <c r="AT156" s="301" t="n"/>
      <c r="AU156" s="301" t="n"/>
      <c r="AV156" s="301" t="n"/>
      <c r="AW156" s="301" t="n"/>
      <c r="AX156" s="301" t="n"/>
      <c r="AY156" s="301" t="n"/>
      <c r="AZ156" s="301" t="n"/>
      <c r="BA156" s="301" t="n"/>
      <c r="BB156" s="301" t="n"/>
      <c r="BC156" s="301" t="n"/>
      <c r="BD156" s="302" t="n">
        <v>129</v>
      </c>
      <c r="BE156" s="302" t="n">
        <v>0.000287</v>
      </c>
      <c r="BF156" s="302">
        <f>-Radwag[[#This Row],[Error]]</f>
        <v/>
      </c>
      <c r="BG156" s="376" t="n"/>
      <c r="BH156" s="376" t="n"/>
    </row>
    <row r="157">
      <c r="AO157" s="301" t="n"/>
      <c r="AP157" s="301" t="n"/>
      <c r="AQ157" s="301" t="n"/>
      <c r="AR157" s="301" t="n"/>
      <c r="AS157" s="301" t="n"/>
      <c r="AT157" s="301" t="n"/>
      <c r="AU157" s="301" t="n"/>
      <c r="AV157" s="301" t="n"/>
      <c r="AW157" s="301" t="n"/>
      <c r="AX157" s="301" t="n"/>
      <c r="AY157" s="301" t="n"/>
      <c r="AZ157" s="301" t="n"/>
      <c r="BA157" s="301" t="n"/>
      <c r="BB157" s="301" t="n"/>
      <c r="BC157" s="301" t="n"/>
      <c r="BD157" s="302" t="n">
        <v>130</v>
      </c>
      <c r="BE157" s="302" t="n">
        <v>0.00029</v>
      </c>
      <c r="BF157" s="302">
        <f>-Radwag[[#This Row],[Error]]</f>
        <v/>
      </c>
      <c r="BG157" s="376" t="n"/>
      <c r="BH157" s="376" t="n"/>
    </row>
    <row r="158">
      <c r="AO158" s="301" t="n"/>
      <c r="AP158" s="301" t="n"/>
      <c r="AQ158" s="301" t="n"/>
      <c r="AR158" s="301" t="n"/>
      <c r="AS158" s="301" t="n"/>
      <c r="AT158" s="301" t="n"/>
      <c r="AU158" s="301" t="n"/>
      <c r="AV158" s="301" t="n"/>
      <c r="AW158" s="301" t="n"/>
      <c r="AX158" s="301" t="n"/>
      <c r="AY158" s="301" t="n"/>
      <c r="AZ158" s="301" t="n"/>
      <c r="BA158" s="301" t="n"/>
      <c r="BB158" s="301" t="n"/>
      <c r="BC158" s="301" t="n"/>
      <c r="BD158" s="302" t="n">
        <v>131</v>
      </c>
      <c r="BE158" s="302" t="n">
        <v>0.000293</v>
      </c>
      <c r="BF158" s="302">
        <f>-Radwag[[#This Row],[Error]]</f>
        <v/>
      </c>
      <c r="BG158" s="376" t="n"/>
      <c r="BH158" s="376" t="n"/>
    </row>
    <row r="159">
      <c r="AO159" s="301" t="n"/>
      <c r="AP159" s="301" t="n"/>
      <c r="AQ159" s="301" t="n"/>
      <c r="AR159" s="301" t="n"/>
      <c r="AS159" s="301" t="n"/>
      <c r="AT159" s="301" t="n"/>
      <c r="AU159" s="301" t="n"/>
      <c r="AV159" s="301" t="n"/>
      <c r="AW159" s="301" t="n"/>
      <c r="AX159" s="301" t="n"/>
      <c r="AY159" s="301" t="n"/>
      <c r="AZ159" s="301" t="n"/>
      <c r="BA159" s="301" t="n"/>
      <c r="BB159" s="301" t="n"/>
      <c r="BC159" s="301" t="n"/>
      <c r="BD159" s="302" t="n">
        <v>132</v>
      </c>
      <c r="BE159" s="302" t="n">
        <v>0.000296</v>
      </c>
      <c r="BF159" s="302">
        <f>-Radwag[[#This Row],[Error]]</f>
        <v/>
      </c>
      <c r="BG159" s="376" t="n"/>
      <c r="BH159" s="376" t="n"/>
    </row>
    <row r="160">
      <c r="AO160" s="301" t="n"/>
      <c r="AP160" s="301" t="n"/>
      <c r="AQ160" s="301" t="n"/>
      <c r="AR160" s="301" t="n"/>
      <c r="AS160" s="301" t="n"/>
      <c r="AT160" s="301" t="n"/>
      <c r="AU160" s="301" t="n"/>
      <c r="AV160" s="301" t="n"/>
      <c r="AW160" s="301" t="n"/>
      <c r="AX160" s="301" t="n"/>
      <c r="AY160" s="301" t="n"/>
      <c r="AZ160" s="301" t="n"/>
      <c r="BA160" s="301" t="n"/>
      <c r="BB160" s="301" t="n"/>
      <c r="BC160" s="301" t="n"/>
      <c r="BD160" s="302" t="n">
        <v>133</v>
      </c>
      <c r="BE160" s="302" t="n">
        <v>0.000299</v>
      </c>
      <c r="BF160" s="302">
        <f>-Radwag[[#This Row],[Error]]</f>
        <v/>
      </c>
      <c r="BG160" s="376" t="n"/>
      <c r="BH160" s="376" t="n"/>
    </row>
    <row r="161">
      <c r="AO161" s="301" t="n"/>
      <c r="AP161" s="301" t="n"/>
      <c r="AQ161" s="301" t="n"/>
      <c r="AR161" s="301" t="n"/>
      <c r="AS161" s="301" t="n"/>
      <c r="AT161" s="301" t="n"/>
      <c r="AU161" s="301" t="n"/>
      <c r="AV161" s="301" t="n"/>
      <c r="AW161" s="301" t="n"/>
      <c r="AX161" s="301" t="n"/>
      <c r="AY161" s="301" t="n"/>
      <c r="AZ161" s="301" t="n"/>
      <c r="BA161" s="301" t="n"/>
      <c r="BB161" s="301" t="n"/>
      <c r="BC161" s="301" t="n"/>
      <c r="BD161" s="302" t="n">
        <v>134</v>
      </c>
      <c r="BE161" s="302" t="n">
        <v>0.000302</v>
      </c>
      <c r="BF161" s="302">
        <f>-Radwag[[#This Row],[Error]]</f>
        <v/>
      </c>
      <c r="BG161" s="376" t="n"/>
      <c r="BH161" s="376" t="n"/>
    </row>
    <row r="162">
      <c r="AO162" s="301" t="n"/>
      <c r="AP162" s="301" t="n"/>
      <c r="AQ162" s="301" t="n"/>
      <c r="AR162" s="301" t="n"/>
      <c r="AS162" s="301" t="n"/>
      <c r="AT162" s="301" t="n"/>
      <c r="AU162" s="301" t="n"/>
      <c r="AV162" s="301" t="n"/>
      <c r="AW162" s="301" t="n"/>
      <c r="AX162" s="301" t="n"/>
      <c r="AY162" s="301" t="n"/>
      <c r="AZ162" s="301" t="n"/>
      <c r="BA162" s="301" t="n"/>
      <c r="BB162" s="301" t="n"/>
      <c r="BC162" s="301" t="n"/>
      <c r="BD162" s="302" t="n">
        <v>135</v>
      </c>
      <c r="BE162" s="302" t="n">
        <v>0.000305</v>
      </c>
      <c r="BF162" s="302">
        <f>-Radwag[[#This Row],[Error]]</f>
        <v/>
      </c>
      <c r="BG162" s="376" t="n"/>
      <c r="BH162" s="376" t="n"/>
    </row>
    <row r="163">
      <c r="AO163" s="301" t="n"/>
      <c r="AP163" s="301" t="n"/>
      <c r="AQ163" s="301" t="n"/>
      <c r="AR163" s="301" t="n"/>
      <c r="AS163" s="301" t="n"/>
      <c r="AT163" s="301" t="n"/>
      <c r="AU163" s="301" t="n"/>
      <c r="AV163" s="301" t="n"/>
      <c r="AW163" s="301" t="n"/>
      <c r="AX163" s="301" t="n"/>
      <c r="AY163" s="301" t="n"/>
      <c r="AZ163" s="301" t="n"/>
      <c r="BA163" s="301" t="n"/>
      <c r="BB163" s="301" t="n"/>
      <c r="BC163" s="301" t="n"/>
      <c r="BD163" s="302" t="n">
        <v>136</v>
      </c>
      <c r="BE163" s="302" t="n">
        <v>0.000308</v>
      </c>
      <c r="BF163" s="302">
        <f>-Radwag[[#This Row],[Error]]</f>
        <v/>
      </c>
      <c r="BG163" s="376" t="n"/>
      <c r="BH163" s="376" t="n"/>
    </row>
    <row r="164">
      <c r="AO164" s="301" t="n"/>
      <c r="AP164" s="301" t="n"/>
      <c r="AQ164" s="301" t="n"/>
      <c r="AR164" s="301" t="n"/>
      <c r="AS164" s="301" t="n"/>
      <c r="AT164" s="301" t="n"/>
      <c r="AU164" s="301" t="n"/>
      <c r="AV164" s="301" t="n"/>
      <c r="AW164" s="301" t="n"/>
      <c r="AX164" s="301" t="n"/>
      <c r="AY164" s="301" t="n"/>
      <c r="AZ164" s="301" t="n"/>
      <c r="BA164" s="301" t="n"/>
      <c r="BB164" s="301" t="n"/>
      <c r="BC164" s="301" t="n"/>
      <c r="BD164" s="302" t="n">
        <v>137</v>
      </c>
      <c r="BE164" s="302" t="n">
        <v>0.000311</v>
      </c>
      <c r="BF164" s="302">
        <f>-Radwag[[#This Row],[Error]]</f>
        <v/>
      </c>
      <c r="BG164" s="376" t="n"/>
      <c r="BH164" s="376" t="n"/>
    </row>
    <row r="165">
      <c r="AO165" s="301" t="n"/>
      <c r="AP165" s="301" t="n"/>
      <c r="AQ165" s="301" t="n"/>
      <c r="AR165" s="301" t="n"/>
      <c r="AS165" s="301" t="n"/>
      <c r="AT165" s="301" t="n"/>
      <c r="AU165" s="301" t="n"/>
      <c r="AV165" s="301" t="n"/>
      <c r="AW165" s="301" t="n"/>
      <c r="AX165" s="301" t="n"/>
      <c r="AY165" s="301" t="n"/>
      <c r="AZ165" s="301" t="n"/>
      <c r="BA165" s="301" t="n"/>
      <c r="BB165" s="301" t="n"/>
      <c r="BC165" s="301" t="n"/>
      <c r="BD165" s="302" t="n">
        <v>138</v>
      </c>
      <c r="BE165" s="302" t="n">
        <v>0.000314</v>
      </c>
      <c r="BF165" s="302">
        <f>-Radwag[[#This Row],[Error]]</f>
        <v/>
      </c>
      <c r="BG165" s="376" t="n"/>
      <c r="BH165" s="376" t="n"/>
    </row>
    <row r="166">
      <c r="AO166" s="301" t="n"/>
      <c r="AP166" s="301" t="n"/>
      <c r="AQ166" s="301" t="n"/>
      <c r="AR166" s="301" t="n"/>
      <c r="AS166" s="301" t="n"/>
      <c r="AT166" s="301" t="n"/>
      <c r="AU166" s="301" t="n"/>
      <c r="AV166" s="301" t="n"/>
      <c r="AW166" s="301" t="n"/>
      <c r="AX166" s="301" t="n"/>
      <c r="AY166" s="301" t="n"/>
      <c r="AZ166" s="301" t="n"/>
      <c r="BA166" s="301" t="n"/>
      <c r="BB166" s="301" t="n"/>
      <c r="BC166" s="301" t="n"/>
      <c r="BD166" s="302" t="n">
        <v>139</v>
      </c>
      <c r="BE166" s="302" t="n">
        <v>0.000317</v>
      </c>
      <c r="BF166" s="302">
        <f>-Radwag[[#This Row],[Error]]</f>
        <v/>
      </c>
      <c r="BG166" s="376" t="n"/>
      <c r="BH166" s="376" t="n"/>
    </row>
    <row r="167">
      <c r="AO167" s="301" t="n"/>
      <c r="AP167" s="301" t="n"/>
      <c r="AQ167" s="301" t="n"/>
      <c r="AR167" s="301" t="n"/>
      <c r="AS167" s="301" t="n"/>
      <c r="AT167" s="301" t="n"/>
      <c r="AU167" s="301" t="n"/>
      <c r="AV167" s="301" t="n"/>
      <c r="AW167" s="301" t="n"/>
      <c r="AX167" s="301" t="n"/>
      <c r="AY167" s="301" t="n"/>
      <c r="AZ167" s="301" t="n"/>
      <c r="BA167" s="301" t="n"/>
      <c r="BB167" s="301" t="n"/>
      <c r="BC167" s="301" t="n"/>
      <c r="BD167" s="302" t="n">
        <v>140</v>
      </c>
      <c r="BE167" s="302" t="n">
        <v>0.00032</v>
      </c>
      <c r="BF167" s="302">
        <f>-Radwag[[#This Row],[Error]]</f>
        <v/>
      </c>
      <c r="BG167" s="376" t="n"/>
      <c r="BH167" s="376" t="n"/>
    </row>
    <row r="168">
      <c r="AO168" s="301" t="n"/>
      <c r="AP168" s="301" t="n"/>
      <c r="AQ168" s="301" t="n"/>
      <c r="AR168" s="301" t="n"/>
      <c r="AS168" s="301" t="n"/>
      <c r="AT168" s="301" t="n"/>
      <c r="AU168" s="301" t="n"/>
      <c r="AV168" s="301" t="n"/>
      <c r="AW168" s="301" t="n"/>
      <c r="AX168" s="301" t="n"/>
      <c r="AY168" s="301" t="n"/>
      <c r="AZ168" s="301" t="n"/>
      <c r="BA168" s="301" t="n"/>
      <c r="BB168" s="301" t="n"/>
      <c r="BC168" s="301" t="n"/>
      <c r="BD168" s="302" t="n">
        <v>141</v>
      </c>
      <c r="BE168" s="302" t="n">
        <v>0.000323</v>
      </c>
      <c r="BF168" s="302">
        <f>-Radwag[[#This Row],[Error]]</f>
        <v/>
      </c>
      <c r="BG168" s="376" t="n"/>
      <c r="BH168" s="376" t="n"/>
    </row>
    <row r="169">
      <c r="AO169" s="301" t="n"/>
      <c r="AP169" s="301" t="n"/>
      <c r="AQ169" s="301" t="n"/>
      <c r="AR169" s="301" t="n"/>
      <c r="AS169" s="301" t="n"/>
      <c r="AT169" s="301" t="n"/>
      <c r="AU169" s="301" t="n"/>
      <c r="AV169" s="301" t="n"/>
      <c r="AW169" s="301" t="n"/>
      <c r="AX169" s="301" t="n"/>
      <c r="AY169" s="301" t="n"/>
      <c r="AZ169" s="301" t="n"/>
      <c r="BA169" s="301" t="n"/>
      <c r="BB169" s="301" t="n"/>
      <c r="BC169" s="301" t="n"/>
      <c r="BD169" s="302" t="n">
        <v>142</v>
      </c>
      <c r="BE169" s="302" t="n">
        <v>0.000326</v>
      </c>
      <c r="BF169" s="302">
        <f>-Radwag[[#This Row],[Error]]</f>
        <v/>
      </c>
      <c r="BG169" s="376" t="n"/>
      <c r="BH169" s="376" t="n"/>
    </row>
    <row r="170">
      <c r="AO170" s="301" t="n"/>
      <c r="AP170" s="301" t="n"/>
      <c r="AQ170" s="301" t="n"/>
      <c r="AR170" s="301" t="n"/>
      <c r="AS170" s="301" t="n"/>
      <c r="AT170" s="301" t="n"/>
      <c r="AU170" s="301" t="n"/>
      <c r="AV170" s="301" t="n"/>
      <c r="AW170" s="301" t="n"/>
      <c r="AX170" s="301" t="n"/>
      <c r="AY170" s="301" t="n"/>
      <c r="AZ170" s="301" t="n"/>
      <c r="BA170" s="301" t="n"/>
      <c r="BB170" s="301" t="n"/>
      <c r="BC170" s="301" t="n"/>
      <c r="BD170" s="302" t="n">
        <v>143</v>
      </c>
      <c r="BE170" s="302" t="n">
        <v>0.000329</v>
      </c>
      <c r="BF170" s="302">
        <f>-Radwag[[#This Row],[Error]]</f>
        <v/>
      </c>
      <c r="BG170" s="376" t="n"/>
      <c r="BH170" s="376" t="n"/>
    </row>
    <row r="171">
      <c r="AO171" s="301" t="n"/>
      <c r="AP171" s="301" t="n"/>
      <c r="AQ171" s="301" t="n"/>
      <c r="AR171" s="301" t="n"/>
      <c r="AS171" s="301" t="n"/>
      <c r="AT171" s="301" t="n"/>
      <c r="AU171" s="301" t="n"/>
      <c r="AV171" s="301" t="n"/>
      <c r="AW171" s="301" t="n"/>
      <c r="AX171" s="301" t="n"/>
      <c r="AY171" s="301" t="n"/>
      <c r="AZ171" s="301" t="n"/>
      <c r="BA171" s="301" t="n"/>
      <c r="BB171" s="301" t="n"/>
      <c r="BC171" s="301" t="n"/>
      <c r="BD171" s="302" t="n">
        <v>144</v>
      </c>
      <c r="BE171" s="302" t="n">
        <v>0.000332</v>
      </c>
      <c r="BF171" s="302">
        <f>-Radwag[[#This Row],[Error]]</f>
        <v/>
      </c>
      <c r="BG171" s="376" t="n"/>
      <c r="BH171" s="376" t="n"/>
    </row>
    <row r="172">
      <c r="AO172" s="301" t="n"/>
      <c r="AP172" s="301" t="n"/>
      <c r="AQ172" s="301" t="n"/>
      <c r="AR172" s="301" t="n"/>
      <c r="AS172" s="301" t="n"/>
      <c r="AT172" s="301" t="n"/>
      <c r="AU172" s="301" t="n"/>
      <c r="AV172" s="301" t="n"/>
      <c r="AW172" s="301" t="n"/>
      <c r="AX172" s="301" t="n"/>
      <c r="AY172" s="301" t="n"/>
      <c r="AZ172" s="301" t="n"/>
      <c r="BA172" s="301" t="n"/>
      <c r="BB172" s="301" t="n"/>
      <c r="BC172" s="301" t="n"/>
      <c r="BD172" s="302" t="n">
        <v>145</v>
      </c>
      <c r="BE172" s="302" t="n">
        <v>0.000335</v>
      </c>
      <c r="BF172" s="302">
        <f>-Radwag[[#This Row],[Error]]</f>
        <v/>
      </c>
      <c r="BG172" s="376" t="n"/>
      <c r="BH172" s="376" t="n"/>
    </row>
    <row r="173">
      <c r="AO173" s="301" t="n"/>
      <c r="AP173" s="301" t="n"/>
      <c r="AQ173" s="301" t="n"/>
      <c r="AR173" s="301" t="n"/>
      <c r="AS173" s="301" t="n"/>
      <c r="AT173" s="301" t="n"/>
      <c r="AU173" s="301" t="n"/>
      <c r="AV173" s="301" t="n"/>
      <c r="AW173" s="301" t="n"/>
      <c r="AX173" s="301" t="n"/>
      <c r="AY173" s="301" t="n"/>
      <c r="AZ173" s="301" t="n"/>
      <c r="BA173" s="301" t="n"/>
      <c r="BB173" s="301" t="n"/>
      <c r="BC173" s="301" t="n"/>
      <c r="BD173" s="302" t="n">
        <v>146</v>
      </c>
      <c r="BE173" s="302" t="n">
        <v>0.000338</v>
      </c>
      <c r="BF173" s="302">
        <f>-Radwag[[#This Row],[Error]]</f>
        <v/>
      </c>
      <c r="BG173" s="376" t="n"/>
      <c r="BH173" s="376" t="n"/>
    </row>
    <row r="174">
      <c r="AO174" s="301" t="n"/>
      <c r="AP174" s="301" t="n"/>
      <c r="AQ174" s="301" t="n"/>
      <c r="AR174" s="301" t="n"/>
      <c r="AS174" s="301" t="n"/>
      <c r="AT174" s="301" t="n"/>
      <c r="AU174" s="301" t="n"/>
      <c r="AV174" s="301" t="n"/>
      <c r="AW174" s="301" t="n"/>
      <c r="AX174" s="301" t="n"/>
      <c r="AY174" s="301" t="n"/>
      <c r="AZ174" s="301" t="n"/>
      <c r="BA174" s="301" t="n"/>
      <c r="BB174" s="301" t="n"/>
      <c r="BC174" s="301" t="n"/>
      <c r="BD174" s="302" t="n">
        <v>147</v>
      </c>
      <c r="BE174" s="302" t="n">
        <v>0.000341</v>
      </c>
      <c r="BF174" s="302">
        <f>-Radwag[[#This Row],[Error]]</f>
        <v/>
      </c>
      <c r="BG174" s="376" t="n"/>
      <c r="BH174" s="376" t="n"/>
    </row>
    <row r="175">
      <c r="AO175" s="301" t="n"/>
      <c r="AP175" s="301" t="n"/>
      <c r="AQ175" s="301" t="n"/>
      <c r="AR175" s="301" t="n"/>
      <c r="AS175" s="301" t="n"/>
      <c r="AT175" s="301" t="n"/>
      <c r="AU175" s="301" t="n"/>
      <c r="AV175" s="301" t="n"/>
      <c r="AW175" s="301" t="n"/>
      <c r="AX175" s="301" t="n"/>
      <c r="AY175" s="301" t="n"/>
      <c r="AZ175" s="301" t="n"/>
      <c r="BA175" s="301" t="n"/>
      <c r="BB175" s="301" t="n"/>
      <c r="BC175" s="301" t="n"/>
      <c r="BD175" s="302" t="n">
        <v>148</v>
      </c>
      <c r="BE175" s="302" t="n">
        <v>0.000344</v>
      </c>
      <c r="BF175" s="302">
        <f>-Radwag[[#This Row],[Error]]</f>
        <v/>
      </c>
      <c r="BG175" s="376" t="n"/>
      <c r="BH175" s="376" t="n"/>
    </row>
    <row r="176">
      <c r="AO176" s="301" t="n"/>
      <c r="AP176" s="301" t="n"/>
      <c r="AQ176" s="301" t="n"/>
      <c r="AR176" s="301" t="n"/>
      <c r="AS176" s="301" t="n"/>
      <c r="AT176" s="301" t="n"/>
      <c r="AU176" s="301" t="n"/>
      <c r="AV176" s="301" t="n"/>
      <c r="AW176" s="301" t="n"/>
      <c r="AX176" s="301" t="n"/>
      <c r="AY176" s="301" t="n"/>
      <c r="AZ176" s="301" t="n"/>
      <c r="BA176" s="301" t="n"/>
      <c r="BB176" s="301" t="n"/>
      <c r="BC176" s="301" t="n"/>
      <c r="BD176" s="302" t="n">
        <v>149</v>
      </c>
      <c r="BE176" s="302" t="n">
        <v>0.000347</v>
      </c>
      <c r="BF176" s="302">
        <f>-Radwag[[#This Row],[Error]]</f>
        <v/>
      </c>
      <c r="BG176" s="376" t="n"/>
      <c r="BH176" s="376" t="n"/>
    </row>
    <row r="177">
      <c r="AO177" s="301" t="n"/>
      <c r="AP177" s="301" t="n"/>
      <c r="AQ177" s="301" t="n"/>
      <c r="AR177" s="301" t="n"/>
      <c r="AS177" s="301" t="n"/>
      <c r="AT177" s="301" t="n"/>
      <c r="AU177" s="301" t="n"/>
      <c r="AV177" s="301" t="n"/>
      <c r="AW177" s="301" t="n"/>
      <c r="AX177" s="301" t="n"/>
      <c r="AY177" s="301" t="n"/>
      <c r="AZ177" s="301" t="n"/>
      <c r="BA177" s="301" t="n"/>
      <c r="BB177" s="301" t="n"/>
      <c r="BC177" s="301" t="n"/>
      <c r="BD177" s="302" t="n">
        <v>150</v>
      </c>
      <c r="BE177" s="302" t="n">
        <v>0.00035</v>
      </c>
      <c r="BF177" s="302">
        <f>-Radwag[[#This Row],[Error]]</f>
        <v/>
      </c>
      <c r="BG177" s="376" t="n"/>
      <c r="BH177" s="376" t="n"/>
    </row>
    <row r="178">
      <c r="AO178" s="301" t="n"/>
      <c r="AP178" s="301" t="n"/>
      <c r="AQ178" s="301" t="n"/>
      <c r="AR178" s="301" t="n"/>
      <c r="AS178" s="301" t="n"/>
      <c r="AT178" s="301" t="n"/>
      <c r="AU178" s="301" t="n"/>
      <c r="AV178" s="301" t="n"/>
      <c r="AW178" s="301" t="n"/>
      <c r="AX178" s="301" t="n"/>
      <c r="AY178" s="301" t="n"/>
      <c r="AZ178" s="301" t="n"/>
      <c r="BA178" s="301" t="n"/>
      <c r="BB178" s="301" t="n"/>
      <c r="BC178" s="301" t="n"/>
      <c r="BD178" s="302" t="n">
        <v>151</v>
      </c>
      <c r="BE178" s="302" t="n">
        <v>0.000346000000000001</v>
      </c>
      <c r="BF178" s="302">
        <f>-Radwag[[#This Row],[Error]]</f>
        <v/>
      </c>
      <c r="BG178" s="376" t="n"/>
      <c r="BH178" s="376" t="n"/>
    </row>
    <row r="179">
      <c r="AO179" s="301" t="n"/>
      <c r="AP179" s="301" t="n"/>
      <c r="AQ179" s="301" t="n"/>
      <c r="AR179" s="301" t="n"/>
      <c r="AS179" s="301" t="n"/>
      <c r="AT179" s="301" t="n"/>
      <c r="AU179" s="301" t="n"/>
      <c r="AV179" s="301" t="n"/>
      <c r="AW179" s="301" t="n"/>
      <c r="AX179" s="301" t="n"/>
      <c r="AY179" s="301" t="n"/>
      <c r="AZ179" s="301" t="n"/>
      <c r="BA179" s="301" t="n"/>
      <c r="BB179" s="301" t="n"/>
      <c r="BC179" s="301" t="n"/>
      <c r="BD179" s="302" t="n">
        <v>152</v>
      </c>
      <c r="BE179" s="302" t="n">
        <v>0.000342000000000001</v>
      </c>
      <c r="BF179" s="302">
        <f>-Radwag[[#This Row],[Error]]</f>
        <v/>
      </c>
      <c r="BG179" s="376" t="n"/>
      <c r="BH179" s="376" t="n"/>
    </row>
    <row r="180">
      <c r="AO180" s="301" t="n"/>
      <c r="AP180" s="301" t="n"/>
      <c r="AQ180" s="301" t="n"/>
      <c r="AR180" s="301" t="n"/>
      <c r="AS180" s="301" t="n"/>
      <c r="AT180" s="301" t="n"/>
      <c r="AU180" s="301" t="n"/>
      <c r="AV180" s="301" t="n"/>
      <c r="AW180" s="301" t="n"/>
      <c r="AX180" s="301" t="n"/>
      <c r="AY180" s="301" t="n"/>
      <c r="AZ180" s="301" t="n"/>
      <c r="BA180" s="301" t="n"/>
      <c r="BB180" s="301" t="n"/>
      <c r="BC180" s="301" t="n"/>
      <c r="BD180" s="302" t="n">
        <v>153</v>
      </c>
      <c r="BE180" s="302" t="n">
        <v>0.000338000000000001</v>
      </c>
      <c r="BF180" s="302">
        <f>-Radwag[[#This Row],[Error]]</f>
        <v/>
      </c>
      <c r="BG180" s="376" t="n"/>
      <c r="BH180" s="376" t="n"/>
    </row>
    <row r="181">
      <c r="AO181" s="301" t="n"/>
      <c r="AP181" s="301" t="n"/>
      <c r="AQ181" s="301" t="n"/>
      <c r="AR181" s="301" t="n"/>
      <c r="AS181" s="301" t="n"/>
      <c r="AT181" s="301" t="n"/>
      <c r="AU181" s="301" t="n"/>
      <c r="AV181" s="301" t="n"/>
      <c r="AW181" s="301" t="n"/>
      <c r="AX181" s="301" t="n"/>
      <c r="AY181" s="301" t="n"/>
      <c r="AZ181" s="301" t="n"/>
      <c r="BA181" s="301" t="n"/>
      <c r="BB181" s="301" t="n"/>
      <c r="BC181" s="301" t="n"/>
      <c r="BD181" s="302" t="n">
        <v>154</v>
      </c>
      <c r="BE181" s="302" t="n">
        <v>0.000334000000000001</v>
      </c>
      <c r="BF181" s="302">
        <f>-Radwag[[#This Row],[Error]]</f>
        <v/>
      </c>
      <c r="BG181" s="376" t="n"/>
      <c r="BH181" s="376" t="n"/>
    </row>
    <row r="182">
      <c r="AO182" s="301" t="n"/>
      <c r="AP182" s="301" t="n"/>
      <c r="AQ182" s="301" t="n"/>
      <c r="AR182" s="301" t="n"/>
      <c r="AS182" s="301" t="n"/>
      <c r="AT182" s="301" t="n"/>
      <c r="AU182" s="301" t="n"/>
      <c r="AV182" s="301" t="n"/>
      <c r="AW182" s="301" t="n"/>
      <c r="AX182" s="301" t="n"/>
      <c r="AY182" s="301" t="n"/>
      <c r="AZ182" s="301" t="n"/>
      <c r="BA182" s="301" t="n"/>
      <c r="BB182" s="301" t="n"/>
      <c r="BC182" s="301" t="n"/>
      <c r="BD182" s="302" t="n">
        <v>155</v>
      </c>
      <c r="BE182" s="302" t="n">
        <v>0.000330000000000001</v>
      </c>
      <c r="BF182" s="302">
        <f>-Radwag[[#This Row],[Error]]</f>
        <v/>
      </c>
      <c r="BG182" s="376" t="n"/>
      <c r="BH182" s="376" t="n"/>
    </row>
    <row r="183">
      <c r="AO183" s="301" t="n"/>
      <c r="AP183" s="301" t="n"/>
      <c r="AQ183" s="301" t="n"/>
      <c r="AR183" s="301" t="n"/>
      <c r="AS183" s="301" t="n"/>
      <c r="AT183" s="301" t="n"/>
      <c r="AU183" s="301" t="n"/>
      <c r="AV183" s="301" t="n"/>
      <c r="AW183" s="301" t="n"/>
      <c r="AX183" s="301" t="n"/>
      <c r="AY183" s="301" t="n"/>
      <c r="AZ183" s="301" t="n"/>
      <c r="BA183" s="301" t="n"/>
      <c r="BB183" s="301" t="n"/>
      <c r="BC183" s="301" t="n"/>
      <c r="BD183" s="302" t="n">
        <v>156</v>
      </c>
      <c r="BE183" s="302" t="n">
        <v>0.000326000000000001</v>
      </c>
      <c r="BF183" s="302">
        <f>-Radwag[[#This Row],[Error]]</f>
        <v/>
      </c>
      <c r="BG183" s="376" t="n"/>
      <c r="BH183" s="376" t="n"/>
    </row>
    <row r="184">
      <c r="AO184" s="301" t="n"/>
      <c r="AP184" s="301" t="n"/>
      <c r="AQ184" s="301" t="n"/>
      <c r="AR184" s="301" t="n"/>
      <c r="AS184" s="301" t="n"/>
      <c r="AT184" s="301" t="n"/>
      <c r="AU184" s="301" t="n"/>
      <c r="AV184" s="301" t="n"/>
      <c r="AW184" s="301" t="n"/>
      <c r="AX184" s="301" t="n"/>
      <c r="AY184" s="301" t="n"/>
      <c r="AZ184" s="301" t="n"/>
      <c r="BA184" s="301" t="n"/>
      <c r="BB184" s="301" t="n"/>
      <c r="BC184" s="301" t="n"/>
      <c r="BD184" s="302" t="n">
        <v>157</v>
      </c>
      <c r="BE184" s="302" t="n">
        <v>0.000322000000000001</v>
      </c>
      <c r="BF184" s="302">
        <f>-Radwag[[#This Row],[Error]]</f>
        <v/>
      </c>
      <c r="BG184" s="376" t="n"/>
      <c r="BH184" s="376" t="n"/>
    </row>
    <row r="185">
      <c r="AO185" s="301" t="n"/>
      <c r="AP185" s="301" t="n"/>
      <c r="AQ185" s="301" t="n"/>
      <c r="AR185" s="301" t="n"/>
      <c r="AS185" s="301" t="n"/>
      <c r="AT185" s="301" t="n"/>
      <c r="AU185" s="301" t="n"/>
      <c r="AV185" s="301" t="n"/>
      <c r="AW185" s="301" t="n"/>
      <c r="AX185" s="301" t="n"/>
      <c r="AY185" s="301" t="n"/>
      <c r="AZ185" s="301" t="n"/>
      <c r="BA185" s="301" t="n"/>
      <c r="BB185" s="301" t="n"/>
      <c r="BC185" s="301" t="n"/>
      <c r="BD185" s="302" t="n">
        <v>158</v>
      </c>
      <c r="BE185" s="302" t="n">
        <v>0.000318000000000001</v>
      </c>
      <c r="BF185" s="302">
        <f>-Radwag[[#This Row],[Error]]</f>
        <v/>
      </c>
      <c r="BG185" s="376" t="n"/>
      <c r="BH185" s="376" t="n"/>
    </row>
    <row r="186">
      <c r="AO186" s="301" t="n"/>
      <c r="AP186" s="301" t="n"/>
      <c r="AQ186" s="301" t="n"/>
      <c r="AR186" s="301" t="n"/>
      <c r="AS186" s="301" t="n"/>
      <c r="AT186" s="301" t="n"/>
      <c r="AU186" s="301" t="n"/>
      <c r="AV186" s="301" t="n"/>
      <c r="AW186" s="301" t="n"/>
      <c r="AX186" s="301" t="n"/>
      <c r="AY186" s="301" t="n"/>
      <c r="AZ186" s="301" t="n"/>
      <c r="BA186" s="301" t="n"/>
      <c r="BB186" s="301" t="n"/>
      <c r="BC186" s="301" t="n"/>
      <c r="BD186" s="302" t="n">
        <v>159</v>
      </c>
      <c r="BE186" s="302" t="n">
        <v>0.000314000000000001</v>
      </c>
      <c r="BF186" s="302">
        <f>-Radwag[[#This Row],[Error]]</f>
        <v/>
      </c>
      <c r="BG186" s="376" t="n"/>
      <c r="BH186" s="376" t="n"/>
    </row>
    <row r="187">
      <c r="AO187" s="301" t="n"/>
      <c r="AP187" s="301" t="n"/>
      <c r="AQ187" s="301" t="n"/>
      <c r="AR187" s="301" t="n"/>
      <c r="AS187" s="301" t="n"/>
      <c r="AT187" s="301" t="n"/>
      <c r="AU187" s="301" t="n"/>
      <c r="AV187" s="301" t="n"/>
      <c r="AW187" s="301" t="n"/>
      <c r="AX187" s="301" t="n"/>
      <c r="AY187" s="301" t="n"/>
      <c r="AZ187" s="301" t="n"/>
      <c r="BA187" s="301" t="n"/>
      <c r="BB187" s="301" t="n"/>
      <c r="BC187" s="301" t="n"/>
      <c r="BD187" s="302" t="n">
        <v>160</v>
      </c>
      <c r="BE187" s="302" t="n">
        <v>0.000310000000000001</v>
      </c>
      <c r="BF187" s="302">
        <f>-Radwag[[#This Row],[Error]]</f>
        <v/>
      </c>
      <c r="BG187" s="376" t="n"/>
      <c r="BH187" s="376" t="n"/>
    </row>
    <row r="188">
      <c r="AO188" s="301" t="n"/>
      <c r="AP188" s="301" t="n"/>
      <c r="AQ188" s="301" t="n"/>
      <c r="AR188" s="301" t="n"/>
      <c r="AS188" s="301" t="n"/>
      <c r="AT188" s="301" t="n"/>
      <c r="AU188" s="301" t="n"/>
      <c r="AV188" s="301" t="n"/>
      <c r="AW188" s="301" t="n"/>
      <c r="AX188" s="301" t="n"/>
      <c r="AY188" s="301" t="n"/>
      <c r="AZ188" s="301" t="n"/>
      <c r="BA188" s="301" t="n"/>
      <c r="BB188" s="301" t="n"/>
      <c r="BC188" s="301" t="n"/>
      <c r="BD188" s="302" t="n">
        <v>161</v>
      </c>
      <c r="BE188" s="302" t="n">
        <v>0.000306000000000001</v>
      </c>
      <c r="BF188" s="302">
        <f>-Radwag[[#This Row],[Error]]</f>
        <v/>
      </c>
      <c r="BG188" s="376" t="n"/>
      <c r="BH188" s="376" t="n"/>
    </row>
    <row r="189">
      <c r="AO189" s="301" t="n"/>
      <c r="AP189" s="301" t="n"/>
      <c r="AQ189" s="301" t="n"/>
      <c r="AR189" s="301" t="n"/>
      <c r="AS189" s="301" t="n"/>
      <c r="AT189" s="301" t="n"/>
      <c r="AU189" s="301" t="n"/>
      <c r="AV189" s="301" t="n"/>
      <c r="AW189" s="301" t="n"/>
      <c r="AX189" s="301" t="n"/>
      <c r="AY189" s="301" t="n"/>
      <c r="AZ189" s="301" t="n"/>
      <c r="BA189" s="301" t="n"/>
      <c r="BB189" s="301" t="n"/>
      <c r="BC189" s="301" t="n"/>
      <c r="BD189" s="302" t="n">
        <v>162</v>
      </c>
      <c r="BE189" s="302" t="n">
        <v>0.000302000000000001</v>
      </c>
      <c r="BF189" s="302">
        <f>-Radwag[[#This Row],[Error]]</f>
        <v/>
      </c>
      <c r="BG189" s="376" t="n"/>
      <c r="BH189" s="376" t="n"/>
    </row>
    <row r="190">
      <c r="AO190" s="301" t="n"/>
      <c r="AP190" s="301" t="n"/>
      <c r="AQ190" s="301" t="n"/>
      <c r="AR190" s="301" t="n"/>
      <c r="AS190" s="301" t="n"/>
      <c r="AT190" s="301" t="n"/>
      <c r="AU190" s="301" t="n"/>
      <c r="AV190" s="301" t="n"/>
      <c r="AW190" s="301" t="n"/>
      <c r="AX190" s="301" t="n"/>
      <c r="AY190" s="301" t="n"/>
      <c r="AZ190" s="301" t="n"/>
      <c r="BA190" s="301" t="n"/>
      <c r="BB190" s="301" t="n"/>
      <c r="BC190" s="301" t="n"/>
      <c r="BD190" s="302" t="n">
        <v>163</v>
      </c>
      <c r="BE190" s="302" t="n">
        <v>0.000298000000000001</v>
      </c>
      <c r="BF190" s="302">
        <f>-Radwag[[#This Row],[Error]]</f>
        <v/>
      </c>
      <c r="BG190" s="376" t="n"/>
      <c r="BH190" s="376" t="n"/>
    </row>
    <row r="191">
      <c r="AO191" s="301" t="n"/>
      <c r="AP191" s="301" t="n"/>
      <c r="AQ191" s="301" t="n"/>
      <c r="AR191" s="301" t="n"/>
      <c r="AS191" s="301" t="n"/>
      <c r="AT191" s="301" t="n"/>
      <c r="AU191" s="301" t="n"/>
      <c r="AV191" s="301" t="n"/>
      <c r="AW191" s="301" t="n"/>
      <c r="AX191" s="301" t="n"/>
      <c r="AY191" s="301" t="n"/>
      <c r="AZ191" s="301" t="n"/>
      <c r="BA191" s="301" t="n"/>
      <c r="BB191" s="301" t="n"/>
      <c r="BC191" s="301" t="n"/>
      <c r="BD191" s="302" t="n">
        <v>164</v>
      </c>
      <c r="BE191" s="302" t="n">
        <v>0.000294000000000001</v>
      </c>
      <c r="BF191" s="302">
        <f>-Radwag[[#This Row],[Error]]</f>
        <v/>
      </c>
      <c r="BG191" s="376" t="n"/>
      <c r="BH191" s="376" t="n"/>
    </row>
    <row r="192">
      <c r="AO192" s="301" t="n"/>
      <c r="AP192" s="301" t="n"/>
      <c r="AQ192" s="301" t="n"/>
      <c r="AR192" s="301" t="n"/>
      <c r="AS192" s="301" t="n"/>
      <c r="AT192" s="301" t="n"/>
      <c r="AU192" s="301" t="n"/>
      <c r="AV192" s="301" t="n"/>
      <c r="AW192" s="301" t="n"/>
      <c r="AX192" s="301" t="n"/>
      <c r="AY192" s="301" t="n"/>
      <c r="AZ192" s="301" t="n"/>
      <c r="BA192" s="301" t="n"/>
      <c r="BB192" s="301" t="n"/>
      <c r="BC192" s="301" t="n"/>
      <c r="BD192" s="302" t="n">
        <v>165</v>
      </c>
      <c r="BE192" s="302" t="n">
        <v>0.000290000000000001</v>
      </c>
      <c r="BF192" s="302">
        <f>-Radwag[[#This Row],[Error]]</f>
        <v/>
      </c>
      <c r="BG192" s="376" t="n"/>
      <c r="BH192" s="376" t="n"/>
    </row>
    <row r="193">
      <c r="AO193" s="301" t="n"/>
      <c r="AP193" s="301" t="n"/>
      <c r="AQ193" s="301" t="n"/>
      <c r="AR193" s="301" t="n"/>
      <c r="AS193" s="301" t="n"/>
      <c r="AT193" s="301" t="n"/>
      <c r="AU193" s="301" t="n"/>
      <c r="AV193" s="301" t="n"/>
      <c r="AW193" s="301" t="n"/>
      <c r="AX193" s="301" t="n"/>
      <c r="AY193" s="301" t="n"/>
      <c r="AZ193" s="301" t="n"/>
      <c r="BA193" s="301" t="n"/>
      <c r="BB193" s="301" t="n"/>
      <c r="BC193" s="301" t="n"/>
      <c r="BD193" s="302" t="n">
        <v>166</v>
      </c>
      <c r="BE193" s="302" t="n">
        <v>0.000286000000000001</v>
      </c>
      <c r="BF193" s="302">
        <f>-Radwag[[#This Row],[Error]]</f>
        <v/>
      </c>
      <c r="BG193" s="376" t="n"/>
      <c r="BH193" s="376" t="n"/>
    </row>
    <row r="194">
      <c r="AO194" s="301" t="n"/>
      <c r="AP194" s="301" t="n"/>
      <c r="AQ194" s="301" t="n"/>
      <c r="AR194" s="301" t="n"/>
      <c r="AS194" s="301" t="n"/>
      <c r="AT194" s="301" t="n"/>
      <c r="AU194" s="301" t="n"/>
      <c r="AV194" s="301" t="n"/>
      <c r="AW194" s="301" t="n"/>
      <c r="AX194" s="301" t="n"/>
      <c r="AY194" s="301" t="n"/>
      <c r="AZ194" s="301" t="n"/>
      <c r="BA194" s="301" t="n"/>
      <c r="BB194" s="301" t="n"/>
      <c r="BC194" s="301" t="n"/>
      <c r="BD194" s="302" t="n">
        <v>167</v>
      </c>
      <c r="BE194" s="302" t="n">
        <v>0.000282000000000001</v>
      </c>
      <c r="BF194" s="302">
        <f>-Radwag[[#This Row],[Error]]</f>
        <v/>
      </c>
      <c r="BG194" s="376" t="n"/>
      <c r="BH194" s="376" t="n"/>
    </row>
    <row r="195">
      <c r="AO195" s="301" t="n"/>
      <c r="AP195" s="301" t="n"/>
      <c r="AQ195" s="301" t="n"/>
      <c r="AR195" s="301" t="n"/>
      <c r="AS195" s="301" t="n"/>
      <c r="AT195" s="301" t="n"/>
      <c r="AU195" s="301" t="n"/>
      <c r="AV195" s="301" t="n"/>
      <c r="AW195" s="301" t="n"/>
      <c r="AX195" s="301" t="n"/>
      <c r="AY195" s="301" t="n"/>
      <c r="AZ195" s="301" t="n"/>
      <c r="BA195" s="301" t="n"/>
      <c r="BB195" s="301" t="n"/>
      <c r="BC195" s="301" t="n"/>
      <c r="BD195" s="302" t="n">
        <v>168</v>
      </c>
      <c r="BE195" s="302" t="n">
        <v>0.000278</v>
      </c>
      <c r="BF195" s="302">
        <f>-Radwag[[#This Row],[Error]]</f>
        <v/>
      </c>
      <c r="BG195" s="376" t="n"/>
      <c r="BH195" s="376" t="n"/>
    </row>
    <row r="196">
      <c r="AO196" s="301" t="n"/>
      <c r="AP196" s="301" t="n"/>
      <c r="AQ196" s="301" t="n"/>
      <c r="AR196" s="301" t="n"/>
      <c r="AS196" s="301" t="n"/>
      <c r="AT196" s="301" t="n"/>
      <c r="AU196" s="301" t="n"/>
      <c r="AV196" s="301" t="n"/>
      <c r="AW196" s="301" t="n"/>
      <c r="AX196" s="301" t="n"/>
      <c r="AY196" s="301" t="n"/>
      <c r="AZ196" s="301" t="n"/>
      <c r="BA196" s="301" t="n"/>
      <c r="BB196" s="301" t="n"/>
      <c r="BC196" s="301" t="n"/>
      <c r="BD196" s="302" t="n">
        <v>169</v>
      </c>
      <c r="BE196" s="302" t="n">
        <v>0.000274</v>
      </c>
      <c r="BF196" s="302">
        <f>-Radwag[[#This Row],[Error]]</f>
        <v/>
      </c>
      <c r="BG196" s="376" t="n"/>
      <c r="BH196" s="376" t="n"/>
    </row>
    <row r="197">
      <c r="AO197" s="301" t="n"/>
      <c r="AP197" s="301" t="n"/>
      <c r="AQ197" s="301" t="n"/>
      <c r="AR197" s="301" t="n"/>
      <c r="AS197" s="301" t="n"/>
      <c r="AT197" s="301" t="n"/>
      <c r="AU197" s="301" t="n"/>
      <c r="AV197" s="301" t="n"/>
      <c r="AW197" s="301" t="n"/>
      <c r="AX197" s="301" t="n"/>
      <c r="AY197" s="301" t="n"/>
      <c r="AZ197" s="301" t="n"/>
      <c r="BA197" s="301" t="n"/>
      <c r="BB197" s="301" t="n"/>
      <c r="BC197" s="301" t="n"/>
      <c r="BD197" s="302" t="n">
        <v>170</v>
      </c>
      <c r="BE197" s="302" t="n">
        <v>0.00027</v>
      </c>
      <c r="BF197" s="302">
        <f>-Radwag[[#This Row],[Error]]</f>
        <v/>
      </c>
      <c r="BG197" s="376" t="n"/>
      <c r="BH197" s="376" t="n"/>
    </row>
    <row r="198">
      <c r="AO198" s="301" t="n"/>
      <c r="AP198" s="301" t="n"/>
      <c r="AQ198" s="301" t="n"/>
      <c r="AR198" s="301" t="n"/>
      <c r="AS198" s="301" t="n"/>
      <c r="AT198" s="301" t="n"/>
      <c r="AU198" s="301" t="n"/>
      <c r="AV198" s="301" t="n"/>
      <c r="AW198" s="301" t="n"/>
      <c r="AX198" s="301" t="n"/>
      <c r="AY198" s="301" t="n"/>
      <c r="AZ198" s="301" t="n"/>
      <c r="BA198" s="301" t="n"/>
      <c r="BB198" s="301" t="n"/>
      <c r="BC198" s="301" t="n"/>
      <c r="BD198" s="302" t="n">
        <v>171</v>
      </c>
      <c r="BE198" s="302" t="n">
        <v>0.000266</v>
      </c>
      <c r="BF198" s="302">
        <f>-Radwag[[#This Row],[Error]]</f>
        <v/>
      </c>
      <c r="BG198" s="376" t="n"/>
      <c r="BH198" s="376" t="n"/>
    </row>
    <row r="199">
      <c r="AO199" s="301" t="n"/>
      <c r="AP199" s="301" t="n"/>
      <c r="AQ199" s="301" t="n"/>
      <c r="AR199" s="301" t="n"/>
      <c r="AS199" s="301" t="n"/>
      <c r="AT199" s="301" t="n"/>
      <c r="AU199" s="301" t="n"/>
      <c r="AV199" s="301" t="n"/>
      <c r="AW199" s="301" t="n"/>
      <c r="AX199" s="301" t="n"/>
      <c r="AY199" s="301" t="n"/>
      <c r="AZ199" s="301" t="n"/>
      <c r="BA199" s="301" t="n"/>
      <c r="BB199" s="301" t="n"/>
      <c r="BC199" s="301" t="n"/>
      <c r="BD199" s="302" t="n">
        <v>172</v>
      </c>
      <c r="BE199" s="302" t="n">
        <v>0.000262</v>
      </c>
      <c r="BF199" s="302">
        <f>-Radwag[[#This Row],[Error]]</f>
        <v/>
      </c>
      <c r="BG199" s="376" t="n"/>
      <c r="BH199" s="376" t="n"/>
    </row>
    <row r="200">
      <c r="AO200" s="301" t="n"/>
      <c r="AP200" s="301" t="n"/>
      <c r="AQ200" s="301" t="n"/>
      <c r="AR200" s="301" t="n"/>
      <c r="AS200" s="301" t="n"/>
      <c r="AT200" s="301" t="n"/>
      <c r="AU200" s="301" t="n"/>
      <c r="AV200" s="301" t="n"/>
      <c r="AW200" s="301" t="n"/>
      <c r="AX200" s="301" t="n"/>
      <c r="AY200" s="301" t="n"/>
      <c r="AZ200" s="301" t="n"/>
      <c r="BA200" s="301" t="n"/>
      <c r="BB200" s="301" t="n"/>
      <c r="BC200" s="301" t="n"/>
      <c r="BD200" s="302" t="n">
        <v>173</v>
      </c>
      <c r="BE200" s="302" t="n">
        <v>0.000258</v>
      </c>
      <c r="BF200" s="302">
        <f>-Radwag[[#This Row],[Error]]</f>
        <v/>
      </c>
      <c r="BG200" s="376" t="n"/>
      <c r="BH200" s="376" t="n"/>
    </row>
    <row r="201">
      <c r="AO201" s="301" t="n"/>
      <c r="AP201" s="301" t="n"/>
      <c r="AQ201" s="301" t="n"/>
      <c r="AR201" s="301" t="n"/>
      <c r="AS201" s="301" t="n"/>
      <c r="AT201" s="301" t="n"/>
      <c r="AU201" s="301" t="n"/>
      <c r="AV201" s="301" t="n"/>
      <c r="AW201" s="301" t="n"/>
      <c r="AX201" s="301" t="n"/>
      <c r="AY201" s="301" t="n"/>
      <c r="AZ201" s="301" t="n"/>
      <c r="BA201" s="301" t="n"/>
      <c r="BB201" s="301" t="n"/>
      <c r="BC201" s="301" t="n"/>
      <c r="BD201" s="302" t="n">
        <v>174</v>
      </c>
      <c r="BE201" s="302" t="n">
        <v>0.000254</v>
      </c>
      <c r="BF201" s="302">
        <f>-Radwag[[#This Row],[Error]]</f>
        <v/>
      </c>
      <c r="BG201" s="376" t="n"/>
      <c r="BH201" s="376" t="n"/>
    </row>
    <row r="202">
      <c r="AO202" s="301" t="n"/>
      <c r="AP202" s="301" t="n"/>
      <c r="AQ202" s="301" t="n"/>
      <c r="AR202" s="301" t="n"/>
      <c r="AS202" s="301" t="n"/>
      <c r="AT202" s="301" t="n"/>
      <c r="AU202" s="301" t="n"/>
      <c r="AV202" s="301" t="n"/>
      <c r="AW202" s="301" t="n"/>
      <c r="AX202" s="301" t="n"/>
      <c r="AY202" s="301" t="n"/>
      <c r="AZ202" s="301" t="n"/>
      <c r="BA202" s="301" t="n"/>
      <c r="BB202" s="301" t="n"/>
      <c r="BC202" s="301" t="n"/>
      <c r="BD202" s="302" t="n">
        <v>175</v>
      </c>
      <c r="BE202" s="302" t="n">
        <v>0.00025</v>
      </c>
      <c r="BF202" s="302">
        <f>-Radwag[[#This Row],[Error]]</f>
        <v/>
      </c>
      <c r="BG202" s="376" t="n"/>
      <c r="BH202" s="376" t="n"/>
    </row>
    <row r="203">
      <c r="AO203" s="301" t="n"/>
      <c r="AP203" s="301" t="n"/>
      <c r="AQ203" s="301" t="n"/>
      <c r="AR203" s="301" t="n"/>
      <c r="AS203" s="301" t="n"/>
      <c r="AT203" s="301" t="n"/>
      <c r="AU203" s="301" t="n"/>
      <c r="AV203" s="301" t="n"/>
      <c r="AW203" s="301" t="n"/>
      <c r="AX203" s="301" t="n"/>
      <c r="AY203" s="301" t="n"/>
      <c r="AZ203" s="301" t="n"/>
      <c r="BA203" s="301" t="n"/>
      <c r="BB203" s="301" t="n"/>
      <c r="BC203" s="301" t="n"/>
      <c r="BD203" s="302" t="n">
        <v>176</v>
      </c>
      <c r="BE203" s="302" t="n">
        <v>0.000246</v>
      </c>
      <c r="BF203" s="302">
        <f>-Radwag[[#This Row],[Error]]</f>
        <v/>
      </c>
      <c r="BG203" s="376" t="n"/>
      <c r="BH203" s="376" t="n"/>
    </row>
    <row r="204">
      <c r="AO204" s="301" t="n"/>
      <c r="AP204" s="301" t="n"/>
      <c r="AQ204" s="301" t="n"/>
      <c r="AR204" s="301" t="n"/>
      <c r="AS204" s="301" t="n"/>
      <c r="AT204" s="301" t="n"/>
      <c r="AU204" s="301" t="n"/>
      <c r="AV204" s="301" t="n"/>
      <c r="AW204" s="301" t="n"/>
      <c r="AX204" s="301" t="n"/>
      <c r="AY204" s="301" t="n"/>
      <c r="AZ204" s="301" t="n"/>
      <c r="BA204" s="301" t="n"/>
      <c r="BB204" s="301" t="n"/>
      <c r="BC204" s="301" t="n"/>
      <c r="BD204" s="302" t="n">
        <v>177</v>
      </c>
      <c r="BE204" s="302" t="n">
        <v>0.000242</v>
      </c>
      <c r="BF204" s="302">
        <f>-Radwag[[#This Row],[Error]]</f>
        <v/>
      </c>
      <c r="BG204" s="376" t="n"/>
      <c r="BH204" s="376" t="n"/>
    </row>
    <row r="205">
      <c r="AO205" s="301" t="n"/>
      <c r="AP205" s="301" t="n"/>
      <c r="AQ205" s="301" t="n"/>
      <c r="AR205" s="301" t="n"/>
      <c r="AS205" s="301" t="n"/>
      <c r="AT205" s="301" t="n"/>
      <c r="AU205" s="301" t="n"/>
      <c r="AV205" s="301" t="n"/>
      <c r="AW205" s="301" t="n"/>
      <c r="AX205" s="301" t="n"/>
      <c r="AY205" s="301" t="n"/>
      <c r="AZ205" s="301" t="n"/>
      <c r="BA205" s="301" t="n"/>
      <c r="BB205" s="301" t="n"/>
      <c r="BC205" s="301" t="n"/>
      <c r="BD205" s="302" t="n">
        <v>178</v>
      </c>
      <c r="BE205" s="302" t="n">
        <v>0.000238</v>
      </c>
      <c r="BF205" s="302">
        <f>-Radwag[[#This Row],[Error]]</f>
        <v/>
      </c>
      <c r="BG205" s="376" t="n"/>
      <c r="BH205" s="376" t="n"/>
    </row>
    <row r="206">
      <c r="AO206" s="301" t="n"/>
      <c r="AP206" s="301" t="n"/>
      <c r="AQ206" s="301" t="n"/>
      <c r="AR206" s="301" t="n"/>
      <c r="AS206" s="301" t="n"/>
      <c r="AT206" s="301" t="n"/>
      <c r="AU206" s="301" t="n"/>
      <c r="AV206" s="301" t="n"/>
      <c r="AW206" s="301" t="n"/>
      <c r="AX206" s="301" t="n"/>
      <c r="AY206" s="301" t="n"/>
      <c r="AZ206" s="301" t="n"/>
      <c r="BA206" s="301" t="n"/>
      <c r="BB206" s="301" t="n"/>
      <c r="BC206" s="301" t="n"/>
      <c r="BD206" s="302" t="n">
        <v>179</v>
      </c>
      <c r="BE206" s="302" t="n">
        <v>0.000234</v>
      </c>
      <c r="BF206" s="302">
        <f>-Radwag[[#This Row],[Error]]</f>
        <v/>
      </c>
      <c r="BG206" s="376" t="n"/>
      <c r="BH206" s="376" t="n"/>
    </row>
    <row r="207">
      <c r="AO207" s="301" t="n"/>
      <c r="AP207" s="301" t="n"/>
      <c r="AQ207" s="301" t="n"/>
      <c r="AR207" s="301" t="n"/>
      <c r="AS207" s="301" t="n"/>
      <c r="AT207" s="301" t="n"/>
      <c r="AU207" s="301" t="n"/>
      <c r="AV207" s="301" t="n"/>
      <c r="AW207" s="301" t="n"/>
      <c r="AX207" s="301" t="n"/>
      <c r="AY207" s="301" t="n"/>
      <c r="AZ207" s="301" t="n"/>
      <c r="BA207" s="301" t="n"/>
      <c r="BB207" s="301" t="n"/>
      <c r="BC207" s="301" t="n"/>
      <c r="BD207" s="302" t="n">
        <v>180</v>
      </c>
      <c r="BE207" s="302" t="n">
        <v>0.00023</v>
      </c>
      <c r="BF207" s="302">
        <f>-Radwag[[#This Row],[Error]]</f>
        <v/>
      </c>
      <c r="BG207" s="376" t="n"/>
      <c r="BH207" s="376" t="n"/>
    </row>
    <row r="208">
      <c r="AO208" s="301" t="n"/>
      <c r="AP208" s="301" t="n"/>
      <c r="AQ208" s="301" t="n"/>
      <c r="AR208" s="301" t="n"/>
      <c r="AS208" s="301" t="n"/>
      <c r="AT208" s="301" t="n"/>
      <c r="AU208" s="301" t="n"/>
      <c r="AV208" s="301" t="n"/>
      <c r="AW208" s="301" t="n"/>
      <c r="AX208" s="301" t="n"/>
      <c r="AY208" s="301" t="n"/>
      <c r="AZ208" s="301" t="n"/>
      <c r="BA208" s="301" t="n"/>
      <c r="BB208" s="301" t="n"/>
      <c r="BC208" s="301" t="n"/>
      <c r="BD208" s="302" t="n">
        <v>181</v>
      </c>
      <c r="BE208" s="302" t="n">
        <v>0.000226</v>
      </c>
      <c r="BF208" s="302">
        <f>-Radwag[[#This Row],[Error]]</f>
        <v/>
      </c>
      <c r="BG208" s="376" t="n"/>
      <c r="BH208" s="376" t="n"/>
    </row>
    <row r="209">
      <c r="AO209" s="301" t="n"/>
      <c r="AP209" s="301" t="n"/>
      <c r="AQ209" s="301" t="n"/>
      <c r="AR209" s="301" t="n"/>
      <c r="AS209" s="301" t="n"/>
      <c r="AT209" s="301" t="n"/>
      <c r="AU209" s="301" t="n"/>
      <c r="AV209" s="301" t="n"/>
      <c r="AW209" s="301" t="n"/>
      <c r="AX209" s="301" t="n"/>
      <c r="AY209" s="301" t="n"/>
      <c r="AZ209" s="301" t="n"/>
      <c r="BA209" s="301" t="n"/>
      <c r="BB209" s="301" t="n"/>
      <c r="BC209" s="301" t="n"/>
      <c r="BD209" s="302" t="n">
        <v>182</v>
      </c>
      <c r="BE209" s="302" t="n">
        <v>0.000222</v>
      </c>
      <c r="BF209" s="302">
        <f>-Radwag[[#This Row],[Error]]</f>
        <v/>
      </c>
      <c r="BG209" s="376" t="n"/>
      <c r="BH209" s="376" t="n"/>
    </row>
    <row r="210">
      <c r="AO210" s="301" t="n"/>
      <c r="AP210" s="301" t="n"/>
      <c r="AQ210" s="301" t="n"/>
      <c r="AR210" s="301" t="n"/>
      <c r="AS210" s="301" t="n"/>
      <c r="AT210" s="301" t="n"/>
      <c r="AU210" s="301" t="n"/>
      <c r="AV210" s="301" t="n"/>
      <c r="AW210" s="301" t="n"/>
      <c r="AX210" s="301" t="n"/>
      <c r="AY210" s="301" t="n"/>
      <c r="AZ210" s="301" t="n"/>
      <c r="BA210" s="301" t="n"/>
      <c r="BB210" s="301" t="n"/>
      <c r="BC210" s="301" t="n"/>
      <c r="BD210" s="302" t="n">
        <v>183</v>
      </c>
      <c r="BE210" s="302" t="n">
        <v>0.000218</v>
      </c>
      <c r="BF210" s="302">
        <f>-Radwag[[#This Row],[Error]]</f>
        <v/>
      </c>
      <c r="BG210" s="376" t="n"/>
      <c r="BH210" s="376" t="n"/>
    </row>
    <row r="211">
      <c r="AO211" s="301" t="n"/>
      <c r="AP211" s="301" t="n"/>
      <c r="AQ211" s="301" t="n"/>
      <c r="AR211" s="301" t="n"/>
      <c r="AS211" s="301" t="n"/>
      <c r="AT211" s="301" t="n"/>
      <c r="AU211" s="301" t="n"/>
      <c r="AV211" s="301" t="n"/>
      <c r="AW211" s="301" t="n"/>
      <c r="AX211" s="301" t="n"/>
      <c r="AY211" s="301" t="n"/>
      <c r="AZ211" s="301" t="n"/>
      <c r="BA211" s="301" t="n"/>
      <c r="BB211" s="301" t="n"/>
      <c r="BC211" s="301" t="n"/>
      <c r="BD211" s="302" t="n">
        <v>184</v>
      </c>
      <c r="BE211" s="302" t="n">
        <v>0.000214</v>
      </c>
      <c r="BF211" s="302">
        <f>-Radwag[[#This Row],[Error]]</f>
        <v/>
      </c>
      <c r="BG211" s="376" t="n"/>
      <c r="BH211" s="376" t="n"/>
    </row>
    <row r="212">
      <c r="AO212" s="301" t="n"/>
      <c r="AP212" s="301" t="n"/>
      <c r="AQ212" s="301" t="n"/>
      <c r="AR212" s="301" t="n"/>
      <c r="AS212" s="301" t="n"/>
      <c r="AT212" s="301" t="n"/>
      <c r="AU212" s="301" t="n"/>
      <c r="AV212" s="301" t="n"/>
      <c r="AW212" s="301" t="n"/>
      <c r="AX212" s="301" t="n"/>
      <c r="AY212" s="301" t="n"/>
      <c r="AZ212" s="301" t="n"/>
      <c r="BA212" s="301" t="n"/>
      <c r="BB212" s="301" t="n"/>
      <c r="BC212" s="301" t="n"/>
      <c r="BD212" s="302" t="n">
        <v>185</v>
      </c>
      <c r="BE212" s="302" t="n">
        <v>0.00021</v>
      </c>
      <c r="BF212" s="302">
        <f>-Radwag[[#This Row],[Error]]</f>
        <v/>
      </c>
      <c r="BG212" s="376" t="n"/>
      <c r="BH212" s="376" t="n"/>
    </row>
    <row r="213">
      <c r="AO213" s="301" t="n"/>
      <c r="AP213" s="301" t="n"/>
      <c r="AQ213" s="301" t="n"/>
      <c r="AR213" s="301" t="n"/>
      <c r="AS213" s="301" t="n"/>
      <c r="AT213" s="301" t="n"/>
      <c r="AU213" s="301" t="n"/>
      <c r="AV213" s="301" t="n"/>
      <c r="AW213" s="301" t="n"/>
      <c r="AX213" s="301" t="n"/>
      <c r="AY213" s="301" t="n"/>
      <c r="AZ213" s="301" t="n"/>
      <c r="BA213" s="301" t="n"/>
      <c r="BB213" s="301" t="n"/>
      <c r="BC213" s="301" t="n"/>
      <c r="BD213" s="302" t="n">
        <v>186</v>
      </c>
      <c r="BE213" s="302" t="n">
        <v>0.000206</v>
      </c>
      <c r="BF213" s="302">
        <f>-Radwag[[#This Row],[Error]]</f>
        <v/>
      </c>
      <c r="BG213" s="376" t="n"/>
      <c r="BH213" s="376" t="n"/>
    </row>
    <row r="214">
      <c r="AO214" s="301" t="n"/>
      <c r="AP214" s="301" t="n"/>
      <c r="AQ214" s="301" t="n"/>
      <c r="AR214" s="301" t="n"/>
      <c r="AS214" s="301" t="n"/>
      <c r="AT214" s="301" t="n"/>
      <c r="AU214" s="301" t="n"/>
      <c r="AV214" s="301" t="n"/>
      <c r="AW214" s="301" t="n"/>
      <c r="AX214" s="301" t="n"/>
      <c r="AY214" s="301" t="n"/>
      <c r="AZ214" s="301" t="n"/>
      <c r="BA214" s="301" t="n"/>
      <c r="BB214" s="301" t="n"/>
      <c r="BC214" s="301" t="n"/>
      <c r="BD214" s="302" t="n">
        <v>187</v>
      </c>
      <c r="BE214" s="302" t="n">
        <v>0.000202</v>
      </c>
      <c r="BF214" s="302">
        <f>-Radwag[[#This Row],[Error]]</f>
        <v/>
      </c>
      <c r="BG214" s="376" t="n"/>
      <c r="BH214" s="376" t="n"/>
    </row>
    <row r="215">
      <c r="AO215" s="301" t="n"/>
      <c r="AP215" s="301" t="n"/>
      <c r="AQ215" s="301" t="n"/>
      <c r="AR215" s="301" t="n"/>
      <c r="AS215" s="301" t="n"/>
      <c r="AT215" s="301" t="n"/>
      <c r="AU215" s="301" t="n"/>
      <c r="AV215" s="301" t="n"/>
      <c r="AW215" s="301" t="n"/>
      <c r="AX215" s="301" t="n"/>
      <c r="AY215" s="301" t="n"/>
      <c r="AZ215" s="301" t="n"/>
      <c r="BA215" s="301" t="n"/>
      <c r="BB215" s="301" t="n"/>
      <c r="BC215" s="301" t="n"/>
      <c r="BD215" s="302" t="n">
        <v>188</v>
      </c>
      <c r="BE215" s="302" t="n">
        <v>0.000198</v>
      </c>
      <c r="BF215" s="302">
        <f>-Radwag[[#This Row],[Error]]</f>
        <v/>
      </c>
      <c r="BG215" s="376" t="n"/>
      <c r="BH215" s="376" t="n"/>
    </row>
    <row r="216">
      <c r="AO216" s="301" t="n"/>
      <c r="AP216" s="301" t="n"/>
      <c r="AQ216" s="301" t="n"/>
      <c r="AR216" s="301" t="n"/>
      <c r="AS216" s="301" t="n"/>
      <c r="AT216" s="301" t="n"/>
      <c r="AU216" s="301" t="n"/>
      <c r="AV216" s="301" t="n"/>
      <c r="AW216" s="301" t="n"/>
      <c r="AX216" s="301" t="n"/>
      <c r="AY216" s="301" t="n"/>
      <c r="AZ216" s="301" t="n"/>
      <c r="BA216" s="301" t="n"/>
      <c r="BB216" s="301" t="n"/>
      <c r="BC216" s="301" t="n"/>
      <c r="BD216" s="302" t="n">
        <v>189</v>
      </c>
      <c r="BE216" s="302" t="n">
        <v>0.000194</v>
      </c>
      <c r="BF216" s="302">
        <f>-Radwag[[#This Row],[Error]]</f>
        <v/>
      </c>
      <c r="BG216" s="376" t="n"/>
      <c r="BH216" s="376" t="n"/>
    </row>
    <row r="217">
      <c r="AO217" s="301" t="n"/>
      <c r="AP217" s="301" t="n"/>
      <c r="AQ217" s="301" t="n"/>
      <c r="AR217" s="301" t="n"/>
      <c r="AS217" s="301" t="n"/>
      <c r="AT217" s="301" t="n"/>
      <c r="AU217" s="301" t="n"/>
      <c r="AV217" s="301" t="n"/>
      <c r="AW217" s="301" t="n"/>
      <c r="AX217" s="301" t="n"/>
      <c r="AY217" s="301" t="n"/>
      <c r="AZ217" s="301" t="n"/>
      <c r="BA217" s="301" t="n"/>
      <c r="BB217" s="301" t="n"/>
      <c r="BC217" s="301" t="n"/>
      <c r="BD217" s="302" t="n">
        <v>190</v>
      </c>
      <c r="BE217" s="302" t="n">
        <v>0.00019</v>
      </c>
      <c r="BF217" s="302">
        <f>-Radwag[[#This Row],[Error]]</f>
        <v/>
      </c>
      <c r="BG217" s="376" t="n"/>
      <c r="BH217" s="376" t="n"/>
    </row>
    <row r="218">
      <c r="AO218" s="301" t="n"/>
      <c r="AP218" s="301" t="n"/>
      <c r="AQ218" s="301" t="n"/>
      <c r="AR218" s="301" t="n"/>
      <c r="AS218" s="301" t="n"/>
      <c r="AT218" s="301" t="n"/>
      <c r="AU218" s="301" t="n"/>
      <c r="AV218" s="301" t="n"/>
      <c r="AW218" s="301" t="n"/>
      <c r="AX218" s="301" t="n"/>
      <c r="AY218" s="301" t="n"/>
      <c r="AZ218" s="301" t="n"/>
      <c r="BA218" s="301" t="n"/>
      <c r="BB218" s="301" t="n"/>
      <c r="BC218" s="301" t="n"/>
      <c r="BD218" s="302" t="n">
        <v>191</v>
      </c>
      <c r="BE218" s="302" t="n">
        <v>0.000186</v>
      </c>
      <c r="BF218" s="302">
        <f>-Radwag[[#This Row],[Error]]</f>
        <v/>
      </c>
      <c r="BG218" s="376" t="n"/>
      <c r="BH218" s="376" t="n"/>
    </row>
    <row r="219">
      <c r="AO219" s="301" t="n"/>
      <c r="AP219" s="301" t="n"/>
      <c r="AQ219" s="301" t="n"/>
      <c r="AR219" s="301" t="n"/>
      <c r="AS219" s="301" t="n"/>
      <c r="AT219" s="301" t="n"/>
      <c r="AU219" s="301" t="n"/>
      <c r="AV219" s="301" t="n"/>
      <c r="AW219" s="301" t="n"/>
      <c r="AX219" s="301" t="n"/>
      <c r="AY219" s="301" t="n"/>
      <c r="AZ219" s="301" t="n"/>
      <c r="BA219" s="301" t="n"/>
      <c r="BB219" s="301" t="n"/>
      <c r="BC219" s="301" t="n"/>
      <c r="BD219" s="302" t="n">
        <v>192</v>
      </c>
      <c r="BE219" s="302" t="n">
        <v>0.000182</v>
      </c>
      <c r="BF219" s="302">
        <f>-Radwag[[#This Row],[Error]]</f>
        <v/>
      </c>
      <c r="BG219" s="376" t="n"/>
      <c r="BH219" s="376" t="n"/>
    </row>
    <row r="220">
      <c r="AO220" s="301" t="n"/>
      <c r="AP220" s="301" t="n"/>
      <c r="AQ220" s="301" t="n"/>
      <c r="AR220" s="301" t="n"/>
      <c r="AS220" s="301" t="n"/>
      <c r="AT220" s="301" t="n"/>
      <c r="AU220" s="301" t="n"/>
      <c r="AV220" s="301" t="n"/>
      <c r="AW220" s="301" t="n"/>
      <c r="AX220" s="301" t="n"/>
      <c r="AY220" s="301" t="n"/>
      <c r="AZ220" s="301" t="n"/>
      <c r="BA220" s="301" t="n"/>
      <c r="BB220" s="301" t="n"/>
      <c r="BC220" s="301" t="n"/>
      <c r="BD220" s="302" t="n">
        <v>193</v>
      </c>
      <c r="BE220" s="302" t="n">
        <v>0.000178</v>
      </c>
      <c r="BF220" s="302">
        <f>-Radwag[[#This Row],[Error]]</f>
        <v/>
      </c>
      <c r="BG220" s="376" t="n"/>
      <c r="BH220" s="376" t="n"/>
    </row>
    <row r="221">
      <c r="AO221" s="301" t="n"/>
      <c r="AP221" s="301" t="n"/>
      <c r="AQ221" s="301" t="n"/>
      <c r="AR221" s="301" t="n"/>
      <c r="AS221" s="301" t="n"/>
      <c r="AT221" s="301" t="n"/>
      <c r="AU221" s="301" t="n"/>
      <c r="AV221" s="301" t="n"/>
      <c r="AW221" s="301" t="n"/>
      <c r="AX221" s="301" t="n"/>
      <c r="AY221" s="301" t="n"/>
      <c r="AZ221" s="301" t="n"/>
      <c r="BA221" s="301" t="n"/>
      <c r="BB221" s="301" t="n"/>
      <c r="BC221" s="301" t="n"/>
      <c r="BD221" s="302" t="n">
        <v>194</v>
      </c>
      <c r="BE221" s="302" t="n">
        <v>0.000174</v>
      </c>
      <c r="BF221" s="302">
        <f>-Radwag[[#This Row],[Error]]</f>
        <v/>
      </c>
      <c r="BG221" s="376" t="n"/>
      <c r="BH221" s="376" t="n"/>
    </row>
    <row r="222">
      <c r="AO222" s="301" t="n"/>
      <c r="AP222" s="301" t="n"/>
      <c r="AQ222" s="301" t="n"/>
      <c r="AR222" s="301" t="n"/>
      <c r="AS222" s="301" t="n"/>
      <c r="AT222" s="301" t="n"/>
      <c r="AU222" s="301" t="n"/>
      <c r="AV222" s="301" t="n"/>
      <c r="AW222" s="301" t="n"/>
      <c r="AX222" s="301" t="n"/>
      <c r="AY222" s="301" t="n"/>
      <c r="AZ222" s="301" t="n"/>
      <c r="BA222" s="301" t="n"/>
      <c r="BB222" s="301" t="n"/>
      <c r="BC222" s="301" t="n"/>
      <c r="BD222" s="302" t="n">
        <v>195</v>
      </c>
      <c r="BE222" s="302" t="n">
        <v>0.00017</v>
      </c>
      <c r="BF222" s="302">
        <f>-Radwag[[#This Row],[Error]]</f>
        <v/>
      </c>
      <c r="BG222" s="376" t="n"/>
      <c r="BH222" s="376" t="n"/>
    </row>
    <row r="223">
      <c r="AO223" s="301" t="n"/>
      <c r="AP223" s="301" t="n"/>
      <c r="AQ223" s="301" t="n"/>
      <c r="AR223" s="301" t="n"/>
      <c r="AS223" s="301" t="n"/>
      <c r="AT223" s="301" t="n"/>
      <c r="AU223" s="301" t="n"/>
      <c r="AV223" s="301" t="n"/>
      <c r="AW223" s="301" t="n"/>
      <c r="AX223" s="301" t="n"/>
      <c r="AY223" s="301" t="n"/>
      <c r="AZ223" s="301" t="n"/>
      <c r="BA223" s="301" t="n"/>
      <c r="BB223" s="301" t="n"/>
      <c r="BC223" s="301" t="n"/>
      <c r="BD223" s="302" t="n">
        <v>196</v>
      </c>
      <c r="BE223" s="302" t="n">
        <v>0.000166</v>
      </c>
      <c r="BF223" s="302">
        <f>-Radwag[[#This Row],[Error]]</f>
        <v/>
      </c>
      <c r="BG223" s="376" t="n"/>
      <c r="BH223" s="376" t="n"/>
    </row>
    <row r="224">
      <c r="AO224" s="301" t="n"/>
      <c r="AP224" s="301" t="n"/>
      <c r="AQ224" s="301" t="n"/>
      <c r="AR224" s="301" t="n"/>
      <c r="AS224" s="301" t="n"/>
      <c r="AT224" s="301" t="n"/>
      <c r="AU224" s="301" t="n"/>
      <c r="AV224" s="301" t="n"/>
      <c r="AW224" s="301" t="n"/>
      <c r="AX224" s="301" t="n"/>
      <c r="AY224" s="301" t="n"/>
      <c r="AZ224" s="301" t="n"/>
      <c r="BA224" s="301" t="n"/>
      <c r="BB224" s="301" t="n"/>
      <c r="BC224" s="301" t="n"/>
      <c r="BD224" s="302" t="n">
        <v>197</v>
      </c>
      <c r="BE224" s="302" t="n">
        <v>0.000162</v>
      </c>
      <c r="BF224" s="302">
        <f>-Radwag[[#This Row],[Error]]</f>
        <v/>
      </c>
      <c r="BG224" s="376" t="n"/>
      <c r="BH224" s="376" t="n"/>
    </row>
    <row r="225">
      <c r="AO225" s="301" t="n"/>
      <c r="AP225" s="301" t="n"/>
      <c r="AQ225" s="301" t="n"/>
      <c r="AR225" s="301" t="n"/>
      <c r="AS225" s="301" t="n"/>
      <c r="AT225" s="301" t="n"/>
      <c r="AU225" s="301" t="n"/>
      <c r="AV225" s="301" t="n"/>
      <c r="AW225" s="301" t="n"/>
      <c r="AX225" s="301" t="n"/>
      <c r="AY225" s="301" t="n"/>
      <c r="AZ225" s="301" t="n"/>
      <c r="BA225" s="301" t="n"/>
      <c r="BB225" s="301" t="n"/>
      <c r="BC225" s="301" t="n"/>
      <c r="BD225" s="302" t="n">
        <v>198</v>
      </c>
      <c r="BE225" s="302" t="n">
        <v>0.000158</v>
      </c>
      <c r="BF225" s="302">
        <f>-Radwag[[#This Row],[Error]]</f>
        <v/>
      </c>
      <c r="BG225" s="376" t="n"/>
      <c r="BH225" s="376" t="n"/>
    </row>
    <row r="226">
      <c r="AO226" s="301" t="n"/>
      <c r="AP226" s="301" t="n"/>
      <c r="AQ226" s="301" t="n"/>
      <c r="AR226" s="301" t="n"/>
      <c r="AS226" s="301" t="n"/>
      <c r="AT226" s="301" t="n"/>
      <c r="AU226" s="301" t="n"/>
      <c r="AV226" s="301" t="n"/>
      <c r="AW226" s="301" t="n"/>
      <c r="AX226" s="301" t="n"/>
      <c r="AY226" s="301" t="n"/>
      <c r="AZ226" s="301" t="n"/>
      <c r="BA226" s="301" t="n"/>
      <c r="BB226" s="301" t="n"/>
      <c r="BC226" s="301" t="n"/>
      <c r="BD226" s="302" t="n">
        <v>199</v>
      </c>
      <c r="BE226" s="302" t="n">
        <v>0.000154</v>
      </c>
      <c r="BF226" s="302">
        <f>-Radwag[[#This Row],[Error]]</f>
        <v/>
      </c>
      <c r="BG226" s="376" t="n"/>
      <c r="BH226" s="376" t="n"/>
    </row>
    <row r="227">
      <c r="AO227" s="301" t="n"/>
      <c r="AP227" s="301" t="n"/>
      <c r="AQ227" s="301" t="n"/>
      <c r="AR227" s="301" t="n"/>
      <c r="AS227" s="301" t="n"/>
      <c r="AT227" s="301" t="n"/>
      <c r="AU227" s="301" t="n"/>
      <c r="AV227" s="301" t="n"/>
      <c r="AW227" s="301" t="n"/>
      <c r="AX227" s="301" t="n"/>
      <c r="AY227" s="301" t="n"/>
      <c r="AZ227" s="301" t="n"/>
      <c r="BA227" s="301" t="n"/>
      <c r="BB227" s="301" t="n"/>
      <c r="BC227" s="301" t="n"/>
      <c r="BD227" s="302" t="n">
        <v>200</v>
      </c>
      <c r="BE227" s="302" t="n">
        <v>0.00015</v>
      </c>
      <c r="BF227" s="302">
        <f>-Radwag[[#This Row],[Error]]</f>
        <v/>
      </c>
      <c r="BG227" s="376" t="n"/>
      <c r="BH227" s="376" t="n"/>
    </row>
    <row r="228">
      <c r="AO228" s="301" t="n"/>
      <c r="AP228" s="301" t="n"/>
      <c r="AQ228" s="301" t="n"/>
      <c r="AR228" s="301" t="n"/>
      <c r="AS228" s="301" t="n"/>
      <c r="AT228" s="301" t="n"/>
      <c r="AU228" s="301" t="n"/>
      <c r="AV228" s="301" t="n"/>
      <c r="AW228" s="301" t="n"/>
      <c r="AX228" s="301" t="n"/>
      <c r="AY228" s="301" t="n"/>
      <c r="AZ228" s="301" t="n"/>
      <c r="BA228" s="301" t="n"/>
      <c r="BB228" s="301" t="n"/>
      <c r="BC228" s="301" t="n"/>
      <c r="BD228" s="302" t="n">
        <v>201</v>
      </c>
      <c r="BE228" s="302" t="n">
        <v>0.000157</v>
      </c>
      <c r="BF228" s="302">
        <f>-Radwag[[#This Row],[Error]]</f>
        <v/>
      </c>
      <c r="BG228" s="376" t="n"/>
      <c r="BH228" s="376" t="n"/>
    </row>
    <row r="229">
      <c r="AO229" s="301" t="n"/>
      <c r="AP229" s="301" t="n"/>
      <c r="AQ229" s="301" t="n"/>
      <c r="AR229" s="301" t="n"/>
      <c r="AS229" s="301" t="n"/>
      <c r="AT229" s="301" t="n"/>
      <c r="AU229" s="301" t="n"/>
      <c r="AV229" s="301" t="n"/>
      <c r="AW229" s="301" t="n"/>
      <c r="AX229" s="301" t="n"/>
      <c r="AY229" s="301" t="n"/>
      <c r="AZ229" s="301" t="n"/>
      <c r="BA229" s="301" t="n"/>
      <c r="BB229" s="301" t="n"/>
      <c r="BC229" s="301" t="n"/>
      <c r="BD229" s="302" t="n">
        <v>202</v>
      </c>
      <c r="BE229" s="302" t="n">
        <v>0.000164</v>
      </c>
      <c r="BF229" s="302">
        <f>-Radwag[[#This Row],[Error]]</f>
        <v/>
      </c>
      <c r="BG229" s="376" t="n"/>
      <c r="BH229" s="376" t="n"/>
    </row>
    <row r="230">
      <c r="AO230" s="301" t="n"/>
      <c r="AP230" s="301" t="n"/>
      <c r="AQ230" s="301" t="n"/>
      <c r="AR230" s="301" t="n"/>
      <c r="AS230" s="301" t="n"/>
      <c r="AT230" s="301" t="n"/>
      <c r="AU230" s="301" t="n"/>
      <c r="AV230" s="301" t="n"/>
      <c r="AW230" s="301" t="n"/>
      <c r="AX230" s="301" t="n"/>
      <c r="AY230" s="301" t="n"/>
      <c r="AZ230" s="301" t="n"/>
      <c r="BA230" s="301" t="n"/>
      <c r="BB230" s="301" t="n"/>
      <c r="BC230" s="301" t="n"/>
      <c r="BD230" s="302" t="n">
        <v>203</v>
      </c>
      <c r="BE230" s="302" t="n">
        <v>0.000171</v>
      </c>
      <c r="BF230" s="302">
        <f>-Radwag[[#This Row],[Error]]</f>
        <v/>
      </c>
      <c r="BG230" s="376" t="n"/>
      <c r="BH230" s="376" t="n"/>
    </row>
    <row r="231">
      <c r="AO231" s="301" t="n"/>
      <c r="AP231" s="301" t="n"/>
      <c r="AQ231" s="301" t="n"/>
      <c r="AR231" s="301" t="n"/>
      <c r="AS231" s="301" t="n"/>
      <c r="AT231" s="301" t="n"/>
      <c r="AU231" s="301" t="n"/>
      <c r="AV231" s="301" t="n"/>
      <c r="AW231" s="301" t="n"/>
      <c r="AX231" s="301" t="n"/>
      <c r="AY231" s="301" t="n"/>
      <c r="AZ231" s="301" t="n"/>
      <c r="BA231" s="301" t="n"/>
      <c r="BB231" s="301" t="n"/>
      <c r="BC231" s="301" t="n"/>
      <c r="BD231" s="302" t="n">
        <v>204</v>
      </c>
      <c r="BE231" s="302" t="n">
        <v>0.000178</v>
      </c>
      <c r="BF231" s="302">
        <f>-Radwag[[#This Row],[Error]]</f>
        <v/>
      </c>
      <c r="BG231" s="376" t="n"/>
      <c r="BH231" s="376" t="n"/>
    </row>
    <row r="232">
      <c r="AO232" s="301" t="n"/>
      <c r="AP232" s="301" t="n"/>
      <c r="AQ232" s="301" t="n"/>
      <c r="AR232" s="301" t="n"/>
      <c r="AS232" s="301" t="n"/>
      <c r="AT232" s="301" t="n"/>
      <c r="AU232" s="301" t="n"/>
      <c r="AV232" s="301" t="n"/>
      <c r="AW232" s="301" t="n"/>
      <c r="AX232" s="301" t="n"/>
      <c r="AY232" s="301" t="n"/>
      <c r="AZ232" s="301" t="n"/>
      <c r="BA232" s="301" t="n"/>
      <c r="BB232" s="301" t="n"/>
      <c r="BC232" s="301" t="n"/>
      <c r="BD232" s="302" t="n">
        <v>205</v>
      </c>
      <c r="BE232" s="302" t="n">
        <v>0.000185</v>
      </c>
      <c r="BF232" s="302">
        <f>-Radwag[[#This Row],[Error]]</f>
        <v/>
      </c>
      <c r="BG232" s="376" t="n"/>
      <c r="BH232" s="376" t="n"/>
    </row>
    <row r="233">
      <c r="AO233" s="301" t="n"/>
      <c r="AP233" s="301" t="n"/>
      <c r="AQ233" s="301" t="n"/>
      <c r="AR233" s="301" t="n"/>
      <c r="AS233" s="301" t="n"/>
      <c r="AT233" s="301" t="n"/>
      <c r="AU233" s="301" t="n"/>
      <c r="AV233" s="301" t="n"/>
      <c r="AW233" s="301" t="n"/>
      <c r="AX233" s="301" t="n"/>
      <c r="AY233" s="301" t="n"/>
      <c r="AZ233" s="301" t="n"/>
      <c r="BA233" s="301" t="n"/>
      <c r="BB233" s="301" t="n"/>
      <c r="BC233" s="301" t="n"/>
      <c r="BD233" s="302" t="n">
        <v>206</v>
      </c>
      <c r="BE233" s="302" t="n">
        <v>0.000192</v>
      </c>
      <c r="BF233" s="302">
        <f>-Radwag[[#This Row],[Error]]</f>
        <v/>
      </c>
      <c r="BG233" s="376" t="n"/>
      <c r="BH233" s="376" t="n"/>
    </row>
    <row r="234">
      <c r="AO234" s="301" t="n"/>
      <c r="AP234" s="301" t="n"/>
      <c r="AQ234" s="301" t="n"/>
      <c r="AR234" s="301" t="n"/>
      <c r="AS234" s="301" t="n"/>
      <c r="AT234" s="301" t="n"/>
      <c r="AU234" s="301" t="n"/>
      <c r="AV234" s="301" t="n"/>
      <c r="AW234" s="301" t="n"/>
      <c r="AX234" s="301" t="n"/>
      <c r="AY234" s="301" t="n"/>
      <c r="AZ234" s="301" t="n"/>
      <c r="BA234" s="301" t="n"/>
      <c r="BB234" s="301" t="n"/>
      <c r="BC234" s="301" t="n"/>
      <c r="BD234" s="302" t="n">
        <v>207</v>
      </c>
      <c r="BE234" s="302" t="n">
        <v>0.000199</v>
      </c>
      <c r="BF234" s="302">
        <f>-Radwag[[#This Row],[Error]]</f>
        <v/>
      </c>
      <c r="BG234" s="376" t="n"/>
      <c r="BH234" s="376" t="n"/>
    </row>
    <row r="235">
      <c r="AO235" s="301" t="n"/>
      <c r="AP235" s="301" t="n"/>
      <c r="AQ235" s="301" t="n"/>
      <c r="AR235" s="301" t="n"/>
      <c r="AS235" s="301" t="n"/>
      <c r="AT235" s="301" t="n"/>
      <c r="AU235" s="301" t="n"/>
      <c r="AV235" s="301" t="n"/>
      <c r="AW235" s="301" t="n"/>
      <c r="AX235" s="301" t="n"/>
      <c r="AY235" s="301" t="n"/>
      <c r="AZ235" s="301" t="n"/>
      <c r="BA235" s="301" t="n"/>
      <c r="BB235" s="301" t="n"/>
      <c r="BC235" s="301" t="n"/>
      <c r="BD235" s="302" t="n">
        <v>208</v>
      </c>
      <c r="BE235" s="302" t="n">
        <v>0.000206</v>
      </c>
      <c r="BF235" s="302">
        <f>-Radwag[[#This Row],[Error]]</f>
        <v/>
      </c>
      <c r="BG235" s="376" t="n"/>
      <c r="BH235" s="376" t="n"/>
    </row>
    <row r="236">
      <c r="AO236" s="301" t="n"/>
      <c r="AP236" s="301" t="n"/>
      <c r="AQ236" s="301" t="n"/>
      <c r="AR236" s="301" t="n"/>
      <c r="AS236" s="301" t="n"/>
      <c r="AT236" s="301" t="n"/>
      <c r="AU236" s="301" t="n"/>
      <c r="AV236" s="301" t="n"/>
      <c r="AW236" s="301" t="n"/>
      <c r="AX236" s="301" t="n"/>
      <c r="AY236" s="301" t="n"/>
      <c r="AZ236" s="301" t="n"/>
      <c r="BA236" s="301" t="n"/>
      <c r="BB236" s="301" t="n"/>
      <c r="BC236" s="301" t="n"/>
      <c r="BD236" s="302" t="n">
        <v>209</v>
      </c>
      <c r="BE236" s="302" t="n">
        <v>0.000213</v>
      </c>
      <c r="BF236" s="302">
        <f>-Radwag[[#This Row],[Error]]</f>
        <v/>
      </c>
      <c r="BG236" s="376" t="n"/>
      <c r="BH236" s="376" t="n"/>
    </row>
    <row r="237">
      <c r="AO237" s="301" t="n"/>
      <c r="AP237" s="301" t="n"/>
      <c r="AQ237" s="301" t="n"/>
      <c r="AR237" s="301" t="n"/>
      <c r="AS237" s="301" t="n"/>
      <c r="AT237" s="301" t="n"/>
      <c r="AU237" s="301" t="n"/>
      <c r="AV237" s="301" t="n"/>
      <c r="AW237" s="301" t="n"/>
      <c r="AX237" s="301" t="n"/>
      <c r="AY237" s="301" t="n"/>
      <c r="AZ237" s="301" t="n"/>
      <c r="BA237" s="301" t="n"/>
      <c r="BB237" s="301" t="n"/>
      <c r="BC237" s="301" t="n"/>
      <c r="BD237" s="302" t="n">
        <v>210</v>
      </c>
      <c r="BE237" s="302" t="n">
        <v>0.00022</v>
      </c>
      <c r="BF237" s="302">
        <f>-Radwag[[#This Row],[Error]]</f>
        <v/>
      </c>
      <c r="BG237" s="376" t="n"/>
      <c r="BH237" s="376" t="n"/>
    </row>
    <row r="238">
      <c r="AO238" s="301" t="n"/>
      <c r="AP238" s="301" t="n"/>
      <c r="AQ238" s="301" t="n"/>
      <c r="AR238" s="301" t="n"/>
      <c r="AS238" s="301" t="n"/>
      <c r="AT238" s="301" t="n"/>
      <c r="AU238" s="301" t="n"/>
      <c r="AV238" s="301" t="n"/>
      <c r="AW238" s="301" t="n"/>
      <c r="AX238" s="301" t="n"/>
      <c r="AY238" s="301" t="n"/>
      <c r="AZ238" s="301" t="n"/>
      <c r="BA238" s="301" t="n"/>
      <c r="BB238" s="301" t="n"/>
      <c r="BC238" s="301" t="n"/>
      <c r="BD238" s="302" t="n">
        <v>211</v>
      </c>
      <c r="BE238" s="302" t="n">
        <v>0.000227</v>
      </c>
      <c r="BF238" s="302">
        <f>-Radwag[[#This Row],[Error]]</f>
        <v/>
      </c>
      <c r="BG238" s="376" t="n"/>
      <c r="BH238" s="376" t="n"/>
    </row>
    <row r="239">
      <c r="AO239" s="301" t="n"/>
      <c r="AP239" s="301" t="n"/>
      <c r="AQ239" s="301" t="n"/>
      <c r="AR239" s="301" t="n"/>
      <c r="AS239" s="301" t="n"/>
      <c r="AT239" s="301" t="n"/>
      <c r="AU239" s="301" t="n"/>
      <c r="AV239" s="301" t="n"/>
      <c r="AW239" s="301" t="n"/>
      <c r="AX239" s="301" t="n"/>
      <c r="AY239" s="301" t="n"/>
      <c r="AZ239" s="301" t="n"/>
      <c r="BA239" s="301" t="n"/>
      <c r="BB239" s="301" t="n"/>
      <c r="BC239" s="301" t="n"/>
      <c r="BD239" s="302" t="n">
        <v>212</v>
      </c>
      <c r="BE239" s="302" t="n">
        <v>0.000234</v>
      </c>
      <c r="BF239" s="302">
        <f>-Radwag[[#This Row],[Error]]</f>
        <v/>
      </c>
      <c r="BG239" s="376" t="n"/>
      <c r="BH239" s="376" t="n"/>
    </row>
    <row r="240">
      <c r="AO240" s="301" t="n"/>
      <c r="AP240" s="301" t="n"/>
      <c r="AQ240" s="301" t="n"/>
      <c r="AR240" s="301" t="n"/>
      <c r="AS240" s="301" t="n"/>
      <c r="AT240" s="301" t="n"/>
      <c r="AU240" s="301" t="n"/>
      <c r="AV240" s="301" t="n"/>
      <c r="AW240" s="301" t="n"/>
      <c r="AX240" s="301" t="n"/>
      <c r="AY240" s="301" t="n"/>
      <c r="AZ240" s="301" t="n"/>
      <c r="BA240" s="301" t="n"/>
      <c r="BB240" s="301" t="n"/>
      <c r="BC240" s="301" t="n"/>
      <c r="BD240" s="302" t="n">
        <v>213</v>
      </c>
      <c r="BE240" s="302" t="n">
        <v>0.000241</v>
      </c>
      <c r="BF240" s="302">
        <f>-Radwag[[#This Row],[Error]]</f>
        <v/>
      </c>
      <c r="BG240" s="376" t="n"/>
      <c r="BH240" s="376" t="n"/>
    </row>
    <row r="241">
      <c r="AO241" s="301" t="n"/>
      <c r="AP241" s="301" t="n"/>
      <c r="AQ241" s="301" t="n"/>
      <c r="AR241" s="301" t="n"/>
      <c r="AS241" s="301" t="n"/>
      <c r="AT241" s="301" t="n"/>
      <c r="AU241" s="301" t="n"/>
      <c r="AV241" s="301" t="n"/>
      <c r="AW241" s="301" t="n"/>
      <c r="AX241" s="301" t="n"/>
      <c r="AY241" s="301" t="n"/>
      <c r="AZ241" s="301" t="n"/>
      <c r="BA241" s="301" t="n"/>
      <c r="BB241" s="301" t="n"/>
      <c r="BC241" s="301" t="n"/>
      <c r="BD241" s="302" t="n">
        <v>214</v>
      </c>
      <c r="BE241" s="302" t="n">
        <v>0.000248</v>
      </c>
      <c r="BF241" s="302">
        <f>-Radwag[[#This Row],[Error]]</f>
        <v/>
      </c>
      <c r="BG241" s="376" t="n"/>
      <c r="BH241" s="376" t="n"/>
    </row>
    <row r="242">
      <c r="AO242" s="301" t="n"/>
      <c r="AP242" s="301" t="n"/>
      <c r="AQ242" s="301" t="n"/>
      <c r="AR242" s="301" t="n"/>
      <c r="AS242" s="301" t="n"/>
      <c r="AT242" s="301" t="n"/>
      <c r="AU242" s="301" t="n"/>
      <c r="AV242" s="301" t="n"/>
      <c r="AW242" s="301" t="n"/>
      <c r="AX242" s="301" t="n"/>
      <c r="AY242" s="301" t="n"/>
      <c r="AZ242" s="301" t="n"/>
      <c r="BA242" s="301" t="n"/>
      <c r="BB242" s="301" t="n"/>
      <c r="BC242" s="301" t="n"/>
      <c r="BD242" s="302" t="n">
        <v>215</v>
      </c>
      <c r="BE242" s="302" t="n">
        <v>0.000255</v>
      </c>
      <c r="BF242" s="302">
        <f>-Radwag[[#This Row],[Error]]</f>
        <v/>
      </c>
      <c r="BG242" s="376" t="n"/>
      <c r="BH242" s="376" t="n"/>
    </row>
    <row r="243">
      <c r="AO243" s="301" t="n"/>
      <c r="AP243" s="301" t="n"/>
      <c r="AQ243" s="301" t="n"/>
      <c r="AR243" s="301" t="n"/>
      <c r="AS243" s="301" t="n"/>
      <c r="AT243" s="301" t="n"/>
      <c r="AU243" s="301" t="n"/>
      <c r="AV243" s="301" t="n"/>
      <c r="AW243" s="301" t="n"/>
      <c r="AX243" s="301" t="n"/>
      <c r="AY243" s="301" t="n"/>
      <c r="AZ243" s="301" t="n"/>
      <c r="BA243" s="301" t="n"/>
      <c r="BB243" s="301" t="n"/>
      <c r="BC243" s="301" t="n"/>
      <c r="BD243" s="302" t="n">
        <v>216</v>
      </c>
      <c r="BE243" s="302" t="n">
        <v>0.000262</v>
      </c>
      <c r="BF243" s="302">
        <f>-Radwag[[#This Row],[Error]]</f>
        <v/>
      </c>
      <c r="BG243" s="376" t="n"/>
      <c r="BH243" s="376" t="n"/>
    </row>
    <row r="244">
      <c r="AO244" s="301" t="n"/>
      <c r="AP244" s="301" t="n"/>
      <c r="AQ244" s="301" t="n"/>
      <c r="AR244" s="301" t="n"/>
      <c r="AS244" s="301" t="n"/>
      <c r="AT244" s="301" t="n"/>
      <c r="AU244" s="301" t="n"/>
      <c r="AV244" s="301" t="n"/>
      <c r="AW244" s="301" t="n"/>
      <c r="AX244" s="301" t="n"/>
      <c r="AY244" s="301" t="n"/>
      <c r="AZ244" s="301" t="n"/>
      <c r="BA244" s="301" t="n"/>
      <c r="BB244" s="301" t="n"/>
      <c r="BC244" s="301" t="n"/>
      <c r="BD244" s="302" t="n">
        <v>217</v>
      </c>
      <c r="BE244" s="302" t="n">
        <v>0.000269</v>
      </c>
      <c r="BF244" s="302">
        <f>-Radwag[[#This Row],[Error]]</f>
        <v/>
      </c>
      <c r="BG244" s="376" t="n"/>
      <c r="BH244" s="376" t="n"/>
    </row>
    <row r="245">
      <c r="AO245" s="301" t="n"/>
      <c r="AP245" s="301" t="n"/>
      <c r="AQ245" s="301" t="n"/>
      <c r="AR245" s="301" t="n"/>
      <c r="AS245" s="301" t="n"/>
      <c r="AT245" s="301" t="n"/>
      <c r="AU245" s="301" t="n"/>
      <c r="AV245" s="301" t="n"/>
      <c r="AW245" s="301" t="n"/>
      <c r="AX245" s="301" t="n"/>
      <c r="AY245" s="301" t="n"/>
      <c r="AZ245" s="301" t="n"/>
      <c r="BA245" s="301" t="n"/>
      <c r="BB245" s="301" t="n"/>
      <c r="BC245" s="301" t="n"/>
      <c r="BD245" s="302" t="n">
        <v>218</v>
      </c>
      <c r="BE245" s="302" t="n">
        <v>0.000276</v>
      </c>
      <c r="BF245" s="302">
        <f>-Radwag[[#This Row],[Error]]</f>
        <v/>
      </c>
      <c r="BG245" s="376" t="n"/>
      <c r="BH245" s="376" t="n"/>
    </row>
    <row r="246">
      <c r="AO246" s="301" t="n"/>
      <c r="AP246" s="301" t="n"/>
      <c r="AQ246" s="301" t="n"/>
      <c r="AR246" s="301" t="n"/>
      <c r="AS246" s="301" t="n"/>
      <c r="AT246" s="301" t="n"/>
      <c r="AU246" s="301" t="n"/>
      <c r="AV246" s="301" t="n"/>
      <c r="AW246" s="301" t="n"/>
      <c r="AX246" s="301" t="n"/>
      <c r="AY246" s="301" t="n"/>
      <c r="AZ246" s="301" t="n"/>
      <c r="BA246" s="301" t="n"/>
      <c r="BB246" s="301" t="n"/>
      <c r="BC246" s="301" t="n"/>
      <c r="BD246" s="302" t="n">
        <v>219</v>
      </c>
      <c r="BE246" s="302" t="n">
        <v>0.000283</v>
      </c>
      <c r="BF246" s="302">
        <f>-Radwag[[#This Row],[Error]]</f>
        <v/>
      </c>
      <c r="BG246" s="376" t="n"/>
      <c r="BH246" s="376" t="n"/>
    </row>
    <row r="247">
      <c r="AO247" s="301" t="n"/>
      <c r="AP247" s="301" t="n"/>
      <c r="AQ247" s="301" t="n"/>
      <c r="AR247" s="301" t="n"/>
      <c r="AS247" s="301" t="n"/>
      <c r="AT247" s="301" t="n"/>
      <c r="AU247" s="301" t="n"/>
      <c r="AV247" s="301" t="n"/>
      <c r="AW247" s="301" t="n"/>
      <c r="AX247" s="301" t="n"/>
      <c r="AY247" s="301" t="n"/>
      <c r="AZ247" s="301" t="n"/>
      <c r="BA247" s="301" t="n"/>
      <c r="BB247" s="301" t="n"/>
      <c r="BC247" s="301" t="n"/>
      <c r="BD247" s="302" t="n">
        <v>220</v>
      </c>
      <c r="BE247" s="302" t="n">
        <v>0.00029</v>
      </c>
      <c r="BF247" s="302">
        <f>-Radwag[[#This Row],[Error]]</f>
        <v/>
      </c>
      <c r="BG247" s="376" t="n"/>
      <c r="BH247" s="376" t="n"/>
    </row>
    <row r="248">
      <c r="AO248" s="301" t="n"/>
      <c r="AP248" s="301" t="n"/>
      <c r="AQ248" s="301" t="n"/>
      <c r="AR248" s="301" t="n"/>
      <c r="AS248" s="301" t="n"/>
      <c r="AT248" s="301" t="n"/>
      <c r="AU248" s="301" t="n"/>
      <c r="AV248" s="301" t="n"/>
      <c r="AW248" s="301" t="n"/>
      <c r="AX248" s="301" t="n"/>
      <c r="AY248" s="301" t="n"/>
      <c r="AZ248" s="301" t="n"/>
      <c r="BA248" s="301" t="n"/>
      <c r="BB248" s="301" t="n"/>
      <c r="BC248" s="301" t="n"/>
      <c r="BD248" s="302" t="n">
        <v>221</v>
      </c>
      <c r="BE248" s="302" t="n">
        <v>0.000297</v>
      </c>
      <c r="BF248" s="302">
        <f>-Radwag[[#This Row],[Error]]</f>
        <v/>
      </c>
      <c r="BG248" s="376" t="n"/>
      <c r="BH248" s="376" t="n"/>
    </row>
    <row r="249">
      <c r="AO249" s="301" t="n"/>
      <c r="AP249" s="301" t="n"/>
      <c r="AQ249" s="301" t="n"/>
      <c r="AR249" s="301" t="n"/>
      <c r="AS249" s="301" t="n"/>
      <c r="AT249" s="301" t="n"/>
      <c r="AU249" s="301" t="n"/>
      <c r="AV249" s="301" t="n"/>
      <c r="AW249" s="301" t="n"/>
      <c r="AX249" s="301" t="n"/>
      <c r="AY249" s="301" t="n"/>
      <c r="AZ249" s="301" t="n"/>
      <c r="BA249" s="301" t="n"/>
      <c r="BB249" s="301" t="n"/>
      <c r="BC249" s="301" t="n"/>
      <c r="BD249" s="302" t="n">
        <v>222</v>
      </c>
      <c r="BE249" s="302" t="n">
        <v>0.000304</v>
      </c>
      <c r="BF249" s="302">
        <f>-Radwag[[#This Row],[Error]]</f>
        <v/>
      </c>
      <c r="BG249" s="376" t="n"/>
      <c r="BH249" s="376" t="n"/>
    </row>
    <row r="250">
      <c r="AO250" s="301" t="n"/>
      <c r="AP250" s="301" t="n"/>
      <c r="AQ250" s="301" t="n"/>
      <c r="AR250" s="301" t="n"/>
      <c r="AS250" s="301" t="n"/>
      <c r="AT250" s="301" t="n"/>
      <c r="AU250" s="301" t="n"/>
      <c r="AV250" s="301" t="n"/>
      <c r="AW250" s="301" t="n"/>
      <c r="AX250" s="301" t="n"/>
      <c r="AY250" s="301" t="n"/>
      <c r="AZ250" s="301" t="n"/>
      <c r="BA250" s="301" t="n"/>
      <c r="BB250" s="301" t="n"/>
      <c r="BC250" s="301" t="n"/>
      <c r="BD250" s="302" t="n">
        <v>223</v>
      </c>
      <c r="BE250" s="302" t="n">
        <v>0.000311</v>
      </c>
      <c r="BF250" s="302">
        <f>-Radwag[[#This Row],[Error]]</f>
        <v/>
      </c>
      <c r="BG250" s="376" t="n"/>
      <c r="BH250" s="376" t="n"/>
    </row>
    <row r="251">
      <c r="AO251" s="301" t="n"/>
      <c r="AP251" s="301" t="n"/>
      <c r="AQ251" s="301" t="n"/>
      <c r="AR251" s="301" t="n"/>
      <c r="AS251" s="301" t="n"/>
      <c r="AT251" s="301" t="n"/>
      <c r="AU251" s="301" t="n"/>
      <c r="AV251" s="301" t="n"/>
      <c r="AW251" s="301" t="n"/>
      <c r="AX251" s="301" t="n"/>
      <c r="AY251" s="301" t="n"/>
      <c r="AZ251" s="301" t="n"/>
      <c r="BA251" s="301" t="n"/>
      <c r="BB251" s="301" t="n"/>
      <c r="BC251" s="301" t="n"/>
      <c r="BD251" s="302" t="n">
        <v>224</v>
      </c>
      <c r="BE251" s="302" t="n">
        <v>0.000318</v>
      </c>
      <c r="BF251" s="302">
        <f>-Radwag[[#This Row],[Error]]</f>
        <v/>
      </c>
      <c r="BG251" s="376" t="n"/>
      <c r="BH251" s="376" t="n"/>
    </row>
    <row r="252">
      <c r="AO252" s="301" t="n"/>
      <c r="AP252" s="301" t="n"/>
      <c r="AQ252" s="301" t="n"/>
      <c r="AR252" s="301" t="n"/>
      <c r="AS252" s="301" t="n"/>
      <c r="AT252" s="301" t="n"/>
      <c r="AU252" s="301" t="n"/>
      <c r="AV252" s="301" t="n"/>
      <c r="AW252" s="301" t="n"/>
      <c r="AX252" s="301" t="n"/>
      <c r="AY252" s="301" t="n"/>
      <c r="AZ252" s="301" t="n"/>
      <c r="BA252" s="301" t="n"/>
      <c r="BB252" s="301" t="n"/>
      <c r="BC252" s="301" t="n"/>
      <c r="BD252" s="302" t="n">
        <v>225</v>
      </c>
      <c r="BE252" s="302" t="n">
        <v>0.000325</v>
      </c>
      <c r="BF252" s="302">
        <f>-Radwag[[#This Row],[Error]]</f>
        <v/>
      </c>
      <c r="BG252" s="376" t="n"/>
      <c r="BH252" s="376" t="n"/>
    </row>
    <row r="253">
      <c r="AO253" s="301" t="n"/>
      <c r="AP253" s="301" t="n"/>
      <c r="AQ253" s="301" t="n"/>
      <c r="AR253" s="301" t="n"/>
      <c r="AS253" s="301" t="n"/>
      <c r="AT253" s="301" t="n"/>
      <c r="AU253" s="301" t="n"/>
      <c r="AV253" s="301" t="n"/>
      <c r="AW253" s="301" t="n"/>
      <c r="AX253" s="301" t="n"/>
      <c r="AY253" s="301" t="n"/>
      <c r="AZ253" s="301" t="n"/>
      <c r="BA253" s="301" t="n"/>
      <c r="BB253" s="301" t="n"/>
      <c r="BC253" s="301" t="n"/>
      <c r="BD253" s="302" t="n">
        <v>226</v>
      </c>
      <c r="BE253" s="302" t="n">
        <v>0.000332</v>
      </c>
      <c r="BF253" s="302">
        <f>-Radwag[[#This Row],[Error]]</f>
        <v/>
      </c>
      <c r="BG253" s="376" t="n"/>
      <c r="BH253" s="376" t="n"/>
    </row>
    <row r="254">
      <c r="AO254" s="301" t="n"/>
      <c r="AP254" s="301" t="n"/>
      <c r="AQ254" s="301" t="n"/>
      <c r="AR254" s="301" t="n"/>
      <c r="AS254" s="301" t="n"/>
      <c r="AT254" s="301" t="n"/>
      <c r="AU254" s="301" t="n"/>
      <c r="AV254" s="301" t="n"/>
      <c r="AW254" s="301" t="n"/>
      <c r="AX254" s="301" t="n"/>
      <c r="AY254" s="301" t="n"/>
      <c r="AZ254" s="301" t="n"/>
      <c r="BA254" s="301" t="n"/>
      <c r="BB254" s="301" t="n"/>
      <c r="BC254" s="301" t="n"/>
      <c r="BD254" s="302" t="n">
        <v>227</v>
      </c>
      <c r="BE254" s="302" t="n">
        <v>0.000339</v>
      </c>
      <c r="BF254" s="302">
        <f>-Radwag[[#This Row],[Error]]</f>
        <v/>
      </c>
      <c r="BG254" s="376" t="n"/>
      <c r="BH254" s="376" t="n"/>
    </row>
    <row r="255">
      <c r="AO255" s="301" t="n"/>
      <c r="AP255" s="301" t="n"/>
      <c r="AQ255" s="301" t="n"/>
      <c r="AR255" s="301" t="n"/>
      <c r="AS255" s="301" t="n"/>
      <c r="AT255" s="301" t="n"/>
      <c r="AU255" s="301" t="n"/>
      <c r="AV255" s="301" t="n"/>
      <c r="AW255" s="301" t="n"/>
      <c r="AX255" s="301" t="n"/>
      <c r="AY255" s="301" t="n"/>
      <c r="AZ255" s="301" t="n"/>
      <c r="BA255" s="301" t="n"/>
      <c r="BB255" s="301" t="n"/>
      <c r="BC255" s="301" t="n"/>
      <c r="BD255" s="302" t="n">
        <v>228</v>
      </c>
      <c r="BE255" s="302" t="n">
        <v>0.000346</v>
      </c>
      <c r="BF255" s="302">
        <f>-Radwag[[#This Row],[Error]]</f>
        <v/>
      </c>
      <c r="BG255" s="376" t="n"/>
      <c r="BH255" s="376" t="n"/>
    </row>
    <row r="256">
      <c r="AO256" s="301" t="n"/>
      <c r="AP256" s="301" t="n"/>
      <c r="AQ256" s="301" t="n"/>
      <c r="AR256" s="301" t="n"/>
      <c r="AS256" s="301" t="n"/>
      <c r="AT256" s="301" t="n"/>
      <c r="AU256" s="301" t="n"/>
      <c r="AV256" s="301" t="n"/>
      <c r="AW256" s="301" t="n"/>
      <c r="AX256" s="301" t="n"/>
      <c r="AY256" s="301" t="n"/>
      <c r="AZ256" s="301" t="n"/>
      <c r="BA256" s="301" t="n"/>
      <c r="BB256" s="301" t="n"/>
      <c r="BC256" s="301" t="n"/>
      <c r="BD256" s="302" t="n">
        <v>229</v>
      </c>
      <c r="BE256" s="302" t="n">
        <v>0.000353</v>
      </c>
      <c r="BF256" s="302">
        <f>-Radwag[[#This Row],[Error]]</f>
        <v/>
      </c>
      <c r="BG256" s="376" t="n"/>
      <c r="BH256" s="376" t="n"/>
    </row>
    <row r="257">
      <c r="AO257" s="301" t="n"/>
      <c r="AP257" s="301" t="n"/>
      <c r="AQ257" s="301" t="n"/>
      <c r="AR257" s="301" t="n"/>
      <c r="AS257" s="301" t="n"/>
      <c r="AT257" s="301" t="n"/>
      <c r="AU257" s="301" t="n"/>
      <c r="AV257" s="301" t="n"/>
      <c r="AW257" s="301" t="n"/>
      <c r="AX257" s="301" t="n"/>
      <c r="AY257" s="301" t="n"/>
      <c r="AZ257" s="301" t="n"/>
      <c r="BA257" s="301" t="n"/>
      <c r="BB257" s="301" t="n"/>
      <c r="BC257" s="301" t="n"/>
      <c r="BD257" s="302" t="n">
        <v>230</v>
      </c>
      <c r="BE257" s="302" t="n">
        <v>0.00036</v>
      </c>
      <c r="BF257" s="302">
        <f>-Radwag[[#This Row],[Error]]</f>
        <v/>
      </c>
      <c r="BG257" s="376" t="n"/>
      <c r="BH257" s="376" t="n"/>
    </row>
    <row r="258">
      <c r="AO258" s="301" t="n"/>
      <c r="AP258" s="301" t="n"/>
      <c r="AQ258" s="301" t="n"/>
      <c r="AR258" s="301" t="n"/>
      <c r="AS258" s="301" t="n"/>
      <c r="AT258" s="301" t="n"/>
      <c r="AU258" s="301" t="n"/>
      <c r="AV258" s="301" t="n"/>
      <c r="AW258" s="301" t="n"/>
      <c r="AX258" s="301" t="n"/>
      <c r="AY258" s="301" t="n"/>
      <c r="AZ258" s="301" t="n"/>
      <c r="BA258" s="301" t="n"/>
      <c r="BB258" s="301" t="n"/>
      <c r="BC258" s="301" t="n"/>
      <c r="BD258" s="302" t="n">
        <v>231</v>
      </c>
      <c r="BE258" s="302" t="n">
        <v>0.000367</v>
      </c>
      <c r="BF258" s="302">
        <f>-Radwag[[#This Row],[Error]]</f>
        <v/>
      </c>
      <c r="BG258" s="376" t="n"/>
      <c r="BH258" s="376" t="n"/>
    </row>
    <row r="259">
      <c r="AO259" s="301" t="n"/>
      <c r="AP259" s="301" t="n"/>
      <c r="AQ259" s="301" t="n"/>
      <c r="AR259" s="301" t="n"/>
      <c r="AS259" s="301" t="n"/>
      <c r="AT259" s="301" t="n"/>
      <c r="AU259" s="301" t="n"/>
      <c r="AV259" s="301" t="n"/>
      <c r="AW259" s="301" t="n"/>
      <c r="AX259" s="301" t="n"/>
      <c r="AY259" s="301" t="n"/>
      <c r="AZ259" s="301" t="n"/>
      <c r="BA259" s="301" t="n"/>
      <c r="BB259" s="301" t="n"/>
      <c r="BC259" s="301" t="n"/>
      <c r="BD259" s="302" t="n">
        <v>232</v>
      </c>
      <c r="BE259" s="302" t="n">
        <v>0.000374</v>
      </c>
      <c r="BF259" s="302">
        <f>-Radwag[[#This Row],[Error]]</f>
        <v/>
      </c>
      <c r="BG259" s="376" t="n"/>
      <c r="BH259" s="376" t="n"/>
    </row>
    <row r="260">
      <c r="AO260" s="301" t="n"/>
      <c r="AP260" s="301" t="n"/>
      <c r="AQ260" s="301" t="n"/>
      <c r="AR260" s="301" t="n"/>
      <c r="AS260" s="301" t="n"/>
      <c r="AT260" s="301" t="n"/>
      <c r="AU260" s="301" t="n"/>
      <c r="AV260" s="301" t="n"/>
      <c r="AW260" s="301" t="n"/>
      <c r="AX260" s="301" t="n"/>
      <c r="AY260" s="301" t="n"/>
      <c r="AZ260" s="301" t="n"/>
      <c r="BA260" s="301" t="n"/>
      <c r="BB260" s="301" t="n"/>
      <c r="BC260" s="301" t="n"/>
      <c r="BD260" s="302" t="n">
        <v>233</v>
      </c>
      <c r="BE260" s="302" t="n">
        <v>0.000381</v>
      </c>
      <c r="BF260" s="302">
        <f>-Radwag[[#This Row],[Error]]</f>
        <v/>
      </c>
      <c r="BG260" s="376" t="n"/>
      <c r="BH260" s="376" t="n"/>
    </row>
    <row r="261">
      <c r="AO261" s="301" t="n"/>
      <c r="AP261" s="301" t="n"/>
      <c r="AQ261" s="301" t="n"/>
      <c r="AR261" s="301" t="n"/>
      <c r="AS261" s="301" t="n"/>
      <c r="AT261" s="301" t="n"/>
      <c r="AU261" s="301" t="n"/>
      <c r="AV261" s="301" t="n"/>
      <c r="AW261" s="301" t="n"/>
      <c r="AX261" s="301" t="n"/>
      <c r="AY261" s="301" t="n"/>
      <c r="AZ261" s="301" t="n"/>
      <c r="BA261" s="301" t="n"/>
      <c r="BB261" s="301" t="n"/>
      <c r="BC261" s="301" t="n"/>
      <c r="BD261" s="302" t="n">
        <v>234</v>
      </c>
      <c r="BE261" s="302" t="n">
        <v>0.000388</v>
      </c>
      <c r="BF261" s="302">
        <f>-Radwag[[#This Row],[Error]]</f>
        <v/>
      </c>
      <c r="BG261" s="376" t="n"/>
      <c r="BH261" s="376" t="n"/>
    </row>
    <row r="262">
      <c r="AO262" s="301" t="n"/>
      <c r="AP262" s="301" t="n"/>
      <c r="AQ262" s="301" t="n"/>
      <c r="AR262" s="301" t="n"/>
      <c r="AS262" s="301" t="n"/>
      <c r="AT262" s="301" t="n"/>
      <c r="AU262" s="301" t="n"/>
      <c r="AV262" s="301" t="n"/>
      <c r="AW262" s="301" t="n"/>
      <c r="AX262" s="301" t="n"/>
      <c r="AY262" s="301" t="n"/>
      <c r="AZ262" s="301" t="n"/>
      <c r="BA262" s="301" t="n"/>
      <c r="BB262" s="301" t="n"/>
      <c r="BC262" s="301" t="n"/>
      <c r="BD262" s="302" t="n">
        <v>235</v>
      </c>
      <c r="BE262" s="302" t="n">
        <v>0.000395</v>
      </c>
      <c r="BF262" s="302">
        <f>-Radwag[[#This Row],[Error]]</f>
        <v/>
      </c>
      <c r="BG262" s="376" t="n"/>
      <c r="BH262" s="376" t="n"/>
    </row>
    <row r="263">
      <c r="AO263" s="301" t="n"/>
      <c r="AP263" s="301" t="n"/>
      <c r="AQ263" s="301" t="n"/>
      <c r="AR263" s="301" t="n"/>
      <c r="AS263" s="301" t="n"/>
      <c r="AT263" s="301" t="n"/>
      <c r="AU263" s="301" t="n"/>
      <c r="AV263" s="301" t="n"/>
      <c r="AW263" s="301" t="n"/>
      <c r="AX263" s="301" t="n"/>
      <c r="AY263" s="301" t="n"/>
      <c r="AZ263" s="301" t="n"/>
      <c r="BA263" s="301" t="n"/>
      <c r="BB263" s="301" t="n"/>
      <c r="BC263" s="301" t="n"/>
      <c r="BD263" s="302" t="n">
        <v>236</v>
      </c>
      <c r="BE263" s="302" t="n">
        <v>0.000402</v>
      </c>
      <c r="BF263" s="302">
        <f>-Radwag[[#This Row],[Error]]</f>
        <v/>
      </c>
      <c r="BG263" s="376" t="n"/>
      <c r="BH263" s="376" t="n"/>
    </row>
    <row r="264">
      <c r="AO264" s="301" t="n"/>
      <c r="AP264" s="301" t="n"/>
      <c r="AQ264" s="301" t="n"/>
      <c r="AR264" s="301" t="n"/>
      <c r="AS264" s="301" t="n"/>
      <c r="AT264" s="301" t="n"/>
      <c r="AU264" s="301" t="n"/>
      <c r="AV264" s="301" t="n"/>
      <c r="AW264" s="301" t="n"/>
      <c r="AX264" s="301" t="n"/>
      <c r="AY264" s="301" t="n"/>
      <c r="AZ264" s="301" t="n"/>
      <c r="BA264" s="301" t="n"/>
      <c r="BB264" s="301" t="n"/>
      <c r="BC264" s="301" t="n"/>
      <c r="BD264" s="302" t="n">
        <v>237</v>
      </c>
      <c r="BE264" s="302" t="n">
        <v>0.000409</v>
      </c>
      <c r="BF264" s="302">
        <f>-Radwag[[#This Row],[Error]]</f>
        <v/>
      </c>
      <c r="BG264" s="376" t="n"/>
      <c r="BH264" s="376" t="n"/>
    </row>
    <row r="265">
      <c r="AO265" s="301" t="n"/>
      <c r="AP265" s="301" t="n"/>
      <c r="AQ265" s="301" t="n"/>
      <c r="AR265" s="301" t="n"/>
      <c r="AS265" s="301" t="n"/>
      <c r="AT265" s="301" t="n"/>
      <c r="AU265" s="301" t="n"/>
      <c r="AV265" s="301" t="n"/>
      <c r="AW265" s="301" t="n"/>
      <c r="AX265" s="301" t="n"/>
      <c r="AY265" s="301" t="n"/>
      <c r="AZ265" s="301" t="n"/>
      <c r="BA265" s="301" t="n"/>
      <c r="BB265" s="301" t="n"/>
      <c r="BC265" s="301" t="n"/>
      <c r="BD265" s="302" t="n">
        <v>238</v>
      </c>
      <c r="BE265" s="302" t="n">
        <v>0.000416</v>
      </c>
      <c r="BF265" s="302">
        <f>-Radwag[[#This Row],[Error]]</f>
        <v/>
      </c>
      <c r="BG265" s="376" t="n"/>
      <c r="BH265" s="376" t="n"/>
    </row>
    <row r="266">
      <c r="AO266" s="301" t="n"/>
      <c r="AP266" s="301" t="n"/>
      <c r="AQ266" s="301" t="n"/>
      <c r="AR266" s="301" t="n"/>
      <c r="AS266" s="301" t="n"/>
      <c r="AT266" s="301" t="n"/>
      <c r="AU266" s="301" t="n"/>
      <c r="AV266" s="301" t="n"/>
      <c r="AW266" s="301" t="n"/>
      <c r="AX266" s="301" t="n"/>
      <c r="AY266" s="301" t="n"/>
      <c r="AZ266" s="301" t="n"/>
      <c r="BA266" s="301" t="n"/>
      <c r="BB266" s="301" t="n"/>
      <c r="BC266" s="301" t="n"/>
      <c r="BD266" s="302" t="n">
        <v>239</v>
      </c>
      <c r="BE266" s="302" t="n">
        <v>0.000423</v>
      </c>
      <c r="BF266" s="302">
        <f>-Radwag[[#This Row],[Error]]</f>
        <v/>
      </c>
      <c r="BG266" s="376" t="n"/>
      <c r="BH266" s="376" t="n"/>
    </row>
    <row r="267">
      <c r="AO267" s="301" t="n"/>
      <c r="AP267" s="301" t="n"/>
      <c r="AQ267" s="301" t="n"/>
      <c r="AR267" s="301" t="n"/>
      <c r="AS267" s="301" t="n"/>
      <c r="AT267" s="301" t="n"/>
      <c r="AU267" s="301" t="n"/>
      <c r="AV267" s="301" t="n"/>
      <c r="AW267" s="301" t="n"/>
      <c r="AX267" s="301" t="n"/>
      <c r="AY267" s="301" t="n"/>
      <c r="AZ267" s="301" t="n"/>
      <c r="BA267" s="301" t="n"/>
      <c r="BB267" s="301" t="n"/>
      <c r="BC267" s="301" t="n"/>
      <c r="BD267" s="302" t="n">
        <v>240</v>
      </c>
      <c r="BE267" s="302" t="n">
        <v>0.00043</v>
      </c>
      <c r="BF267" s="302">
        <f>-Radwag[[#This Row],[Error]]</f>
        <v/>
      </c>
      <c r="BG267" s="376" t="n"/>
      <c r="BH267" s="376" t="n"/>
    </row>
    <row r="268">
      <c r="AO268" s="301" t="n"/>
      <c r="AP268" s="301" t="n"/>
      <c r="AQ268" s="301" t="n"/>
      <c r="AR268" s="301" t="n"/>
      <c r="AS268" s="301" t="n"/>
      <c r="AT268" s="301" t="n"/>
      <c r="AU268" s="301" t="n"/>
      <c r="AV268" s="301" t="n"/>
      <c r="AW268" s="301" t="n"/>
      <c r="AX268" s="301" t="n"/>
      <c r="AY268" s="301" t="n"/>
      <c r="AZ268" s="301" t="n"/>
      <c r="BA268" s="301" t="n"/>
      <c r="BB268" s="301" t="n"/>
      <c r="BC268" s="301" t="n"/>
      <c r="BD268" s="302" t="n">
        <v>241</v>
      </c>
      <c r="BE268" s="302" t="n">
        <v>0.000437</v>
      </c>
      <c r="BF268" s="302">
        <f>-Radwag[[#This Row],[Error]]</f>
        <v/>
      </c>
      <c r="BG268" s="376" t="n"/>
      <c r="BH268" s="376" t="n"/>
    </row>
    <row r="269">
      <c r="AO269" s="301" t="n"/>
      <c r="AP269" s="301" t="n"/>
      <c r="AQ269" s="301" t="n"/>
      <c r="AR269" s="301" t="n"/>
      <c r="AS269" s="301" t="n"/>
      <c r="AT269" s="301" t="n"/>
      <c r="AU269" s="301" t="n"/>
      <c r="AV269" s="301" t="n"/>
      <c r="AW269" s="301" t="n"/>
      <c r="AX269" s="301" t="n"/>
      <c r="AY269" s="301" t="n"/>
      <c r="AZ269" s="301" t="n"/>
      <c r="BA269" s="301" t="n"/>
      <c r="BB269" s="301" t="n"/>
      <c r="BC269" s="301" t="n"/>
      <c r="BD269" s="302" t="n">
        <v>242</v>
      </c>
      <c r="BE269" s="302" t="n">
        <v>0.000444</v>
      </c>
      <c r="BF269" s="302">
        <f>-Radwag[[#This Row],[Error]]</f>
        <v/>
      </c>
      <c r="BG269" s="376" t="n"/>
      <c r="BH269" s="376" t="n"/>
    </row>
    <row r="270">
      <c r="AO270" s="301" t="n"/>
      <c r="AP270" s="301" t="n"/>
      <c r="AQ270" s="301" t="n"/>
      <c r="AR270" s="301" t="n"/>
      <c r="AS270" s="301" t="n"/>
      <c r="AT270" s="301" t="n"/>
      <c r="AU270" s="301" t="n"/>
      <c r="AV270" s="301" t="n"/>
      <c r="AW270" s="301" t="n"/>
      <c r="AX270" s="301" t="n"/>
      <c r="AY270" s="301" t="n"/>
      <c r="AZ270" s="301" t="n"/>
      <c r="BA270" s="301" t="n"/>
      <c r="BB270" s="301" t="n"/>
      <c r="BC270" s="301" t="n"/>
      <c r="BD270" s="302" t="n">
        <v>243</v>
      </c>
      <c r="BE270" s="302" t="n">
        <v>0.000451</v>
      </c>
      <c r="BF270" s="302">
        <f>-Radwag[[#This Row],[Error]]</f>
        <v/>
      </c>
      <c r="BG270" s="376" t="n"/>
      <c r="BH270" s="376" t="n"/>
    </row>
    <row r="271">
      <c r="AO271" s="301" t="n"/>
      <c r="AP271" s="301" t="n"/>
      <c r="AQ271" s="301" t="n"/>
      <c r="AR271" s="301" t="n"/>
      <c r="AS271" s="301" t="n"/>
      <c r="AT271" s="301" t="n"/>
      <c r="AU271" s="301" t="n"/>
      <c r="AV271" s="301" t="n"/>
      <c r="AW271" s="301" t="n"/>
      <c r="AX271" s="301" t="n"/>
      <c r="AY271" s="301" t="n"/>
      <c r="AZ271" s="301" t="n"/>
      <c r="BA271" s="301" t="n"/>
      <c r="BB271" s="301" t="n"/>
      <c r="BC271" s="301" t="n"/>
      <c r="BD271" s="302" t="n">
        <v>244</v>
      </c>
      <c r="BE271" s="302" t="n">
        <v>0.000458</v>
      </c>
      <c r="BF271" s="302">
        <f>-Radwag[[#This Row],[Error]]</f>
        <v/>
      </c>
      <c r="BG271" s="376" t="n"/>
      <c r="BH271" s="376" t="n"/>
    </row>
    <row r="272">
      <c r="AO272" s="301" t="n"/>
      <c r="AP272" s="301" t="n"/>
      <c r="AQ272" s="301" t="n"/>
      <c r="AR272" s="301" t="n"/>
      <c r="AS272" s="301" t="n"/>
      <c r="AT272" s="301" t="n"/>
      <c r="AU272" s="301" t="n"/>
      <c r="AV272" s="301" t="n"/>
      <c r="AW272" s="301" t="n"/>
      <c r="AX272" s="301" t="n"/>
      <c r="AY272" s="301" t="n"/>
      <c r="AZ272" s="301" t="n"/>
      <c r="BA272" s="301" t="n"/>
      <c r="BB272" s="301" t="n"/>
      <c r="BC272" s="301" t="n"/>
      <c r="BD272" s="302" t="n">
        <v>245</v>
      </c>
      <c r="BE272" s="302" t="n">
        <v>0.000465</v>
      </c>
      <c r="BF272" s="302">
        <f>-Radwag[[#This Row],[Error]]</f>
        <v/>
      </c>
      <c r="BG272" s="376" t="n"/>
      <c r="BH272" s="376" t="n"/>
    </row>
    <row r="273">
      <c r="AO273" s="301" t="n"/>
      <c r="AP273" s="301" t="n"/>
      <c r="AQ273" s="301" t="n"/>
      <c r="AR273" s="301" t="n"/>
      <c r="AS273" s="301" t="n"/>
      <c r="AT273" s="301" t="n"/>
      <c r="AU273" s="301" t="n"/>
      <c r="AV273" s="301" t="n"/>
      <c r="AW273" s="301" t="n"/>
      <c r="AX273" s="301" t="n"/>
      <c r="AY273" s="301" t="n"/>
      <c r="AZ273" s="301" t="n"/>
      <c r="BA273" s="301" t="n"/>
      <c r="BB273" s="301" t="n"/>
      <c r="BC273" s="301" t="n"/>
      <c r="BD273" s="302" t="n">
        <v>246</v>
      </c>
      <c r="BE273" s="302" t="n">
        <v>0.000472</v>
      </c>
      <c r="BF273" s="302">
        <f>-Radwag[[#This Row],[Error]]</f>
        <v/>
      </c>
      <c r="BG273" s="376" t="n"/>
      <c r="BH273" s="376" t="n"/>
    </row>
    <row r="274">
      <c r="AO274" s="301" t="n"/>
      <c r="AP274" s="301" t="n"/>
      <c r="AQ274" s="301" t="n"/>
      <c r="AR274" s="301" t="n"/>
      <c r="AS274" s="301" t="n"/>
      <c r="AT274" s="301" t="n"/>
      <c r="AU274" s="301" t="n"/>
      <c r="AV274" s="301" t="n"/>
      <c r="AW274" s="301" t="n"/>
      <c r="AX274" s="301" t="n"/>
      <c r="AY274" s="301" t="n"/>
      <c r="AZ274" s="301" t="n"/>
      <c r="BA274" s="301" t="n"/>
      <c r="BB274" s="301" t="n"/>
      <c r="BC274" s="301" t="n"/>
      <c r="BD274" s="302" t="n">
        <v>247</v>
      </c>
      <c r="BE274" s="302" t="n">
        <v>0.000479</v>
      </c>
      <c r="BF274" s="302">
        <f>-Radwag[[#This Row],[Error]]</f>
        <v/>
      </c>
      <c r="BG274" s="376" t="n"/>
      <c r="BH274" s="376" t="n"/>
    </row>
    <row r="275">
      <c r="AO275" s="301" t="n"/>
      <c r="AP275" s="301" t="n"/>
      <c r="AQ275" s="301" t="n"/>
      <c r="AR275" s="301" t="n"/>
      <c r="AS275" s="301" t="n"/>
      <c r="AT275" s="301" t="n"/>
      <c r="AU275" s="301" t="n"/>
      <c r="AV275" s="301" t="n"/>
      <c r="AW275" s="301" t="n"/>
      <c r="AX275" s="301" t="n"/>
      <c r="AY275" s="301" t="n"/>
      <c r="AZ275" s="301" t="n"/>
      <c r="BA275" s="301" t="n"/>
      <c r="BB275" s="301" t="n"/>
      <c r="BC275" s="301" t="n"/>
      <c r="BD275" s="302" t="n">
        <v>248</v>
      </c>
      <c r="BE275" s="302" t="n">
        <v>0.000486</v>
      </c>
      <c r="BF275" s="302">
        <f>-Radwag[[#This Row],[Error]]</f>
        <v/>
      </c>
      <c r="BG275" s="376" t="n"/>
      <c r="BH275" s="376" t="n"/>
    </row>
    <row r="276">
      <c r="AO276" s="301" t="n"/>
      <c r="AP276" s="301" t="n"/>
      <c r="AQ276" s="301" t="n"/>
      <c r="AR276" s="301" t="n"/>
      <c r="AS276" s="301" t="n"/>
      <c r="AT276" s="301" t="n"/>
      <c r="AU276" s="301" t="n"/>
      <c r="AV276" s="301" t="n"/>
      <c r="AW276" s="301" t="n"/>
      <c r="AX276" s="301" t="n"/>
      <c r="AY276" s="301" t="n"/>
      <c r="AZ276" s="301" t="n"/>
      <c r="BA276" s="301" t="n"/>
      <c r="BB276" s="301" t="n"/>
      <c r="BC276" s="301" t="n"/>
      <c r="BD276" s="302" t="n">
        <v>249</v>
      </c>
      <c r="BE276" s="302" t="n">
        <v>0.0004929999999999999</v>
      </c>
      <c r="BF276" s="302">
        <f>-Radwag[[#This Row],[Error]]</f>
        <v/>
      </c>
      <c r="BG276" s="376" t="n"/>
      <c r="BH276" s="376" t="n"/>
    </row>
    <row r="277">
      <c r="AO277" s="301" t="n"/>
      <c r="AP277" s="301" t="n"/>
      <c r="AQ277" s="301" t="n"/>
      <c r="AR277" s="301" t="n"/>
      <c r="AS277" s="301" t="n"/>
      <c r="AT277" s="301" t="n"/>
      <c r="AU277" s="301" t="n"/>
      <c r="AV277" s="301" t="n"/>
      <c r="AW277" s="301" t="n"/>
      <c r="AX277" s="301" t="n"/>
      <c r="AY277" s="301" t="n"/>
      <c r="AZ277" s="301" t="n"/>
      <c r="BA277" s="301" t="n"/>
      <c r="BB277" s="301" t="n"/>
      <c r="BC277" s="301" t="n"/>
      <c r="BD277" s="302" t="n">
        <v>250</v>
      </c>
      <c r="BE277" s="302" t="n">
        <v>0.0005</v>
      </c>
      <c r="BF277" s="302">
        <f>-Radwag[[#This Row],[Error]]</f>
        <v/>
      </c>
      <c r="BG277" s="376" t="n"/>
      <c r="BH277" s="376" t="n"/>
    </row>
    <row r="278">
      <c r="AO278" s="301" t="n"/>
      <c r="AP278" s="301" t="n"/>
      <c r="AQ278" s="301" t="n"/>
      <c r="AR278" s="301" t="n"/>
      <c r="AS278" s="301" t="n"/>
      <c r="AT278" s="301" t="n"/>
      <c r="AU278" s="301" t="n"/>
      <c r="AV278" s="301" t="n"/>
      <c r="AW278" s="301" t="n"/>
      <c r="AX278" s="301" t="n"/>
      <c r="AY278" s="301" t="n"/>
      <c r="AZ278" s="301" t="n"/>
      <c r="BA278" s="301" t="n"/>
      <c r="BB278" s="301" t="n"/>
      <c r="BC278" s="301" t="n"/>
      <c r="BD278" s="302" t="n">
        <v>251</v>
      </c>
      <c r="BE278" s="302" t="n">
        <v>0.000503</v>
      </c>
      <c r="BF278" s="302">
        <f>-Radwag[[#This Row],[Error]]</f>
        <v/>
      </c>
      <c r="BG278" s="376" t="n"/>
      <c r="BH278" s="376" t="n"/>
    </row>
    <row r="279">
      <c r="AO279" s="301" t="n"/>
      <c r="AP279" s="301" t="n"/>
      <c r="AQ279" s="301" t="n"/>
      <c r="AR279" s="301" t="n"/>
      <c r="AS279" s="301" t="n"/>
      <c r="AT279" s="301" t="n"/>
      <c r="AU279" s="301" t="n"/>
      <c r="AV279" s="301" t="n"/>
      <c r="AW279" s="301" t="n"/>
      <c r="AX279" s="301" t="n"/>
      <c r="AY279" s="301" t="n"/>
      <c r="AZ279" s="301" t="n"/>
      <c r="BA279" s="301" t="n"/>
      <c r="BB279" s="301" t="n"/>
      <c r="BC279" s="301" t="n"/>
      <c r="BD279" s="302" t="n">
        <v>252</v>
      </c>
      <c r="BE279" s="302" t="n">
        <v>0.000506</v>
      </c>
      <c r="BF279" s="302">
        <f>-Radwag[[#This Row],[Error]]</f>
        <v/>
      </c>
      <c r="BG279" s="376" t="n"/>
      <c r="BH279" s="376" t="n"/>
    </row>
    <row r="280">
      <c r="AO280" s="301" t="n"/>
      <c r="AP280" s="301" t="n"/>
      <c r="AQ280" s="301" t="n"/>
      <c r="AR280" s="301" t="n"/>
      <c r="AS280" s="301" t="n"/>
      <c r="AT280" s="301" t="n"/>
      <c r="AU280" s="301" t="n"/>
      <c r="AV280" s="301" t="n"/>
      <c r="AW280" s="301" t="n"/>
      <c r="AX280" s="301" t="n"/>
      <c r="AY280" s="301" t="n"/>
      <c r="AZ280" s="301" t="n"/>
      <c r="BA280" s="301" t="n"/>
      <c r="BB280" s="301" t="n"/>
      <c r="BC280" s="301" t="n"/>
      <c r="BD280" s="302" t="n">
        <v>253</v>
      </c>
      <c r="BE280" s="302" t="n">
        <v>0.000509</v>
      </c>
      <c r="BF280" s="302">
        <f>-Radwag[[#This Row],[Error]]</f>
        <v/>
      </c>
      <c r="BG280" s="376" t="n"/>
      <c r="BH280" s="376" t="n"/>
    </row>
    <row r="281">
      <c r="AO281" s="301" t="n"/>
      <c r="AP281" s="301" t="n"/>
      <c r="AQ281" s="301" t="n"/>
      <c r="AR281" s="301" t="n"/>
      <c r="AS281" s="301" t="n"/>
      <c r="AT281" s="301" t="n"/>
      <c r="AU281" s="301" t="n"/>
      <c r="AV281" s="301" t="n"/>
      <c r="AW281" s="301" t="n"/>
      <c r="AX281" s="301" t="n"/>
      <c r="AY281" s="301" t="n"/>
      <c r="AZ281" s="301" t="n"/>
      <c r="BA281" s="301" t="n"/>
      <c r="BB281" s="301" t="n"/>
      <c r="BC281" s="301" t="n"/>
      <c r="BD281" s="302" t="n">
        <v>254</v>
      </c>
      <c r="BE281" s="302" t="n">
        <v>0.000512</v>
      </c>
      <c r="BF281" s="302">
        <f>-Radwag[[#This Row],[Error]]</f>
        <v/>
      </c>
      <c r="BG281" s="376" t="n"/>
      <c r="BH281" s="376" t="n"/>
    </row>
    <row r="282">
      <c r="AO282" s="301" t="n"/>
      <c r="AP282" s="301" t="n"/>
      <c r="AQ282" s="301" t="n"/>
      <c r="AR282" s="301" t="n"/>
      <c r="AS282" s="301" t="n"/>
      <c r="AT282" s="301" t="n"/>
      <c r="AU282" s="301" t="n"/>
      <c r="AV282" s="301" t="n"/>
      <c r="AW282" s="301" t="n"/>
      <c r="AX282" s="301" t="n"/>
      <c r="AY282" s="301" t="n"/>
      <c r="AZ282" s="301" t="n"/>
      <c r="BA282" s="301" t="n"/>
      <c r="BB282" s="301" t="n"/>
      <c r="BC282" s="301" t="n"/>
      <c r="BD282" s="302" t="n">
        <v>255</v>
      </c>
      <c r="BE282" s="302" t="n">
        <v>0.000515</v>
      </c>
      <c r="BF282" s="302">
        <f>-Radwag[[#This Row],[Error]]</f>
        <v/>
      </c>
      <c r="BG282" s="376" t="n"/>
      <c r="BH282" s="376" t="n"/>
    </row>
    <row r="283">
      <c r="AO283" s="301" t="n"/>
      <c r="AP283" s="301" t="n"/>
      <c r="AQ283" s="301" t="n"/>
      <c r="AR283" s="301" t="n"/>
      <c r="AS283" s="301" t="n"/>
      <c r="AT283" s="301" t="n"/>
      <c r="AU283" s="301" t="n"/>
      <c r="AV283" s="301" t="n"/>
      <c r="AW283" s="301" t="n"/>
      <c r="AX283" s="301" t="n"/>
      <c r="AY283" s="301" t="n"/>
      <c r="AZ283" s="301" t="n"/>
      <c r="BA283" s="301" t="n"/>
      <c r="BB283" s="301" t="n"/>
      <c r="BC283" s="301" t="n"/>
      <c r="BD283" s="302" t="n">
        <v>256</v>
      </c>
      <c r="BE283" s="302" t="n">
        <v>0.000518</v>
      </c>
      <c r="BF283" s="302">
        <f>-Radwag[[#This Row],[Error]]</f>
        <v/>
      </c>
      <c r="BG283" s="376" t="n"/>
      <c r="BH283" s="376" t="n"/>
    </row>
    <row r="284">
      <c r="AO284" s="301" t="n"/>
      <c r="AP284" s="301" t="n"/>
      <c r="AQ284" s="301" t="n"/>
      <c r="AR284" s="301" t="n"/>
      <c r="AS284" s="301" t="n"/>
      <c r="AT284" s="301" t="n"/>
      <c r="AU284" s="301" t="n"/>
      <c r="AV284" s="301" t="n"/>
      <c r="AW284" s="301" t="n"/>
      <c r="AX284" s="301" t="n"/>
      <c r="AY284" s="301" t="n"/>
      <c r="AZ284" s="301" t="n"/>
      <c r="BA284" s="301" t="n"/>
      <c r="BB284" s="301" t="n"/>
      <c r="BC284" s="301" t="n"/>
      <c r="BD284" s="302" t="n">
        <v>257</v>
      </c>
      <c r="BE284" s="302" t="n">
        <v>0.000521</v>
      </c>
      <c r="BF284" s="302">
        <f>-Radwag[[#This Row],[Error]]</f>
        <v/>
      </c>
      <c r="BG284" s="376" t="n"/>
      <c r="BH284" s="376" t="n"/>
    </row>
    <row r="285">
      <c r="AO285" s="301" t="n"/>
      <c r="AP285" s="301" t="n"/>
      <c r="AQ285" s="301" t="n"/>
      <c r="AR285" s="301" t="n"/>
      <c r="AS285" s="301" t="n"/>
      <c r="AT285" s="301" t="n"/>
      <c r="AU285" s="301" t="n"/>
      <c r="AV285" s="301" t="n"/>
      <c r="AW285" s="301" t="n"/>
      <c r="AX285" s="301" t="n"/>
      <c r="AY285" s="301" t="n"/>
      <c r="AZ285" s="301" t="n"/>
      <c r="BA285" s="301" t="n"/>
      <c r="BB285" s="301" t="n"/>
      <c r="BC285" s="301" t="n"/>
      <c r="BD285" s="302" t="n">
        <v>258</v>
      </c>
      <c r="BE285" s="302" t="n">
        <v>0.0005240000000000001</v>
      </c>
      <c r="BF285" s="302">
        <f>-Radwag[[#This Row],[Error]]</f>
        <v/>
      </c>
      <c r="BG285" s="376" t="n"/>
      <c r="BH285" s="376" t="n"/>
    </row>
    <row r="286">
      <c r="AO286" s="301" t="n"/>
      <c r="AP286" s="301" t="n"/>
      <c r="AQ286" s="301" t="n"/>
      <c r="AR286" s="301" t="n"/>
      <c r="AS286" s="301" t="n"/>
      <c r="AT286" s="301" t="n"/>
      <c r="AU286" s="301" t="n"/>
      <c r="AV286" s="301" t="n"/>
      <c r="AW286" s="301" t="n"/>
      <c r="AX286" s="301" t="n"/>
      <c r="AY286" s="301" t="n"/>
      <c r="AZ286" s="301" t="n"/>
      <c r="BA286" s="301" t="n"/>
      <c r="BB286" s="301" t="n"/>
      <c r="BC286" s="301" t="n"/>
      <c r="BD286" s="302" t="n">
        <v>259</v>
      </c>
      <c r="BE286" s="302" t="n">
        <v>0.000527</v>
      </c>
      <c r="BF286" s="302">
        <f>-Radwag[[#This Row],[Error]]</f>
        <v/>
      </c>
      <c r="BG286" s="376" t="n"/>
      <c r="BH286" s="376" t="n"/>
    </row>
    <row r="287">
      <c r="AO287" s="301" t="n"/>
      <c r="AP287" s="301" t="n"/>
      <c r="AQ287" s="301" t="n"/>
      <c r="AR287" s="301" t="n"/>
      <c r="AS287" s="301" t="n"/>
      <c r="AT287" s="301" t="n"/>
      <c r="AU287" s="301" t="n"/>
      <c r="AV287" s="301" t="n"/>
      <c r="AW287" s="301" t="n"/>
      <c r="AX287" s="301" t="n"/>
      <c r="AY287" s="301" t="n"/>
      <c r="AZ287" s="301" t="n"/>
      <c r="BA287" s="301" t="n"/>
      <c r="BB287" s="301" t="n"/>
      <c r="BC287" s="301" t="n"/>
      <c r="BD287" s="302" t="n">
        <v>260</v>
      </c>
      <c r="BE287" s="302" t="n">
        <v>0.00053</v>
      </c>
      <c r="BF287" s="302">
        <f>-Radwag[[#This Row],[Error]]</f>
        <v/>
      </c>
      <c r="BG287" s="376" t="n"/>
      <c r="BH287" s="376" t="n"/>
    </row>
    <row r="288">
      <c r="AO288" s="301" t="n"/>
      <c r="AP288" s="301" t="n"/>
      <c r="AQ288" s="301" t="n"/>
      <c r="AR288" s="301" t="n"/>
      <c r="AS288" s="301" t="n"/>
      <c r="AT288" s="301" t="n"/>
      <c r="AU288" s="301" t="n"/>
      <c r="AV288" s="301" t="n"/>
      <c r="AW288" s="301" t="n"/>
      <c r="AX288" s="301" t="n"/>
      <c r="AY288" s="301" t="n"/>
      <c r="AZ288" s="301" t="n"/>
      <c r="BA288" s="301" t="n"/>
      <c r="BB288" s="301" t="n"/>
      <c r="BC288" s="301" t="n"/>
      <c r="BD288" s="302" t="n">
        <v>261</v>
      </c>
      <c r="BE288" s="302" t="n">
        <v>0.0005330000000000001</v>
      </c>
      <c r="BF288" s="302">
        <f>-Radwag[[#This Row],[Error]]</f>
        <v/>
      </c>
      <c r="BG288" s="376" t="n"/>
      <c r="BH288" s="376" t="n"/>
    </row>
    <row r="289">
      <c r="AO289" s="301" t="n"/>
      <c r="AP289" s="301" t="n"/>
      <c r="AQ289" s="301" t="n"/>
      <c r="AR289" s="301" t="n"/>
      <c r="AS289" s="301" t="n"/>
      <c r="AT289" s="301" t="n"/>
      <c r="AU289" s="301" t="n"/>
      <c r="AV289" s="301" t="n"/>
      <c r="AW289" s="301" t="n"/>
      <c r="AX289" s="301" t="n"/>
      <c r="AY289" s="301" t="n"/>
      <c r="AZ289" s="301" t="n"/>
      <c r="BA289" s="301" t="n"/>
      <c r="BB289" s="301" t="n"/>
      <c r="BC289" s="301" t="n"/>
      <c r="BD289" s="302" t="n">
        <v>262</v>
      </c>
      <c r="BE289" s="302" t="n">
        <v>0.000536</v>
      </c>
      <c r="BF289" s="302">
        <f>-Radwag[[#This Row],[Error]]</f>
        <v/>
      </c>
      <c r="BG289" s="376" t="n"/>
      <c r="BH289" s="376" t="n"/>
    </row>
    <row r="290">
      <c r="AO290" s="301" t="n"/>
      <c r="AP290" s="301" t="n"/>
      <c r="AQ290" s="301" t="n"/>
      <c r="AR290" s="301" t="n"/>
      <c r="AS290" s="301" t="n"/>
      <c r="AT290" s="301" t="n"/>
      <c r="AU290" s="301" t="n"/>
      <c r="AV290" s="301" t="n"/>
      <c r="AW290" s="301" t="n"/>
      <c r="AX290" s="301" t="n"/>
      <c r="AY290" s="301" t="n"/>
      <c r="AZ290" s="301" t="n"/>
      <c r="BA290" s="301" t="n"/>
      <c r="BB290" s="301" t="n"/>
      <c r="BC290" s="301" t="n"/>
      <c r="BD290" s="302" t="n">
        <v>263</v>
      </c>
      <c r="BE290" s="302" t="n">
        <v>0.000539</v>
      </c>
      <c r="BF290" s="302">
        <f>-Radwag[[#This Row],[Error]]</f>
        <v/>
      </c>
      <c r="BG290" s="376" t="n"/>
      <c r="BH290" s="376" t="n"/>
    </row>
    <row r="291">
      <c r="AO291" s="301" t="n"/>
      <c r="AP291" s="301" t="n"/>
      <c r="AQ291" s="301" t="n"/>
      <c r="AR291" s="301" t="n"/>
      <c r="AS291" s="301" t="n"/>
      <c r="AT291" s="301" t="n"/>
      <c r="AU291" s="301" t="n"/>
      <c r="AV291" s="301" t="n"/>
      <c r="AW291" s="301" t="n"/>
      <c r="AX291" s="301" t="n"/>
      <c r="AY291" s="301" t="n"/>
      <c r="AZ291" s="301" t="n"/>
      <c r="BA291" s="301" t="n"/>
      <c r="BB291" s="301" t="n"/>
      <c r="BC291" s="301" t="n"/>
      <c r="BD291" s="302" t="n">
        <v>264</v>
      </c>
      <c r="BE291" s="302" t="n">
        <v>0.0005419999999999999</v>
      </c>
      <c r="BF291" s="302">
        <f>-Radwag[[#This Row],[Error]]</f>
        <v/>
      </c>
      <c r="BG291" s="376" t="n"/>
      <c r="BH291" s="376" t="n"/>
    </row>
    <row r="292">
      <c r="AO292" s="301" t="n"/>
      <c r="AP292" s="301" t="n"/>
      <c r="AQ292" s="301" t="n"/>
      <c r="AR292" s="301" t="n"/>
      <c r="AS292" s="301" t="n"/>
      <c r="AT292" s="301" t="n"/>
      <c r="AU292" s="301" t="n"/>
      <c r="AV292" s="301" t="n"/>
      <c r="AW292" s="301" t="n"/>
      <c r="AX292" s="301" t="n"/>
      <c r="AY292" s="301" t="n"/>
      <c r="AZ292" s="301" t="n"/>
      <c r="BA292" s="301" t="n"/>
      <c r="BB292" s="301" t="n"/>
      <c r="BC292" s="301" t="n"/>
      <c r="BD292" s="302" t="n">
        <v>265</v>
      </c>
      <c r="BE292" s="302" t="n">
        <v>0.000544999999999999</v>
      </c>
      <c r="BF292" s="302">
        <f>-Radwag[[#This Row],[Error]]</f>
        <v/>
      </c>
      <c r="BG292" s="376" t="n"/>
      <c r="BH292" s="376" t="n"/>
    </row>
    <row r="293">
      <c r="AO293" s="301" t="n"/>
      <c r="AP293" s="301" t="n"/>
      <c r="AQ293" s="301" t="n"/>
      <c r="AR293" s="301" t="n"/>
      <c r="AS293" s="301" t="n"/>
      <c r="AT293" s="301" t="n"/>
      <c r="AU293" s="301" t="n"/>
      <c r="AV293" s="301" t="n"/>
      <c r="AW293" s="301" t="n"/>
      <c r="AX293" s="301" t="n"/>
      <c r="AY293" s="301" t="n"/>
      <c r="AZ293" s="301" t="n"/>
      <c r="BA293" s="301" t="n"/>
      <c r="BB293" s="301" t="n"/>
      <c r="BC293" s="301" t="n"/>
      <c r="BD293" s="302" t="n">
        <v>266</v>
      </c>
      <c r="BE293" s="302" t="n">
        <v>0.000547999999999999</v>
      </c>
      <c r="BF293" s="302">
        <f>-Radwag[[#This Row],[Error]]</f>
        <v/>
      </c>
      <c r="BG293" s="376" t="n"/>
      <c r="BH293" s="376" t="n"/>
    </row>
    <row r="294">
      <c r="AO294" s="301" t="n"/>
      <c r="AP294" s="301" t="n"/>
      <c r="AQ294" s="301" t="n"/>
      <c r="AR294" s="301" t="n"/>
      <c r="AS294" s="301" t="n"/>
      <c r="AT294" s="301" t="n"/>
      <c r="AU294" s="301" t="n"/>
      <c r="AV294" s="301" t="n"/>
      <c r="AW294" s="301" t="n"/>
      <c r="AX294" s="301" t="n"/>
      <c r="AY294" s="301" t="n"/>
      <c r="AZ294" s="301" t="n"/>
      <c r="BA294" s="301" t="n"/>
      <c r="BB294" s="301" t="n"/>
      <c r="BC294" s="301" t="n"/>
      <c r="BD294" s="302" t="n">
        <v>267</v>
      </c>
      <c r="BE294" s="302" t="n">
        <v>0.000550999999999999</v>
      </c>
      <c r="BF294" s="302">
        <f>-Radwag[[#This Row],[Error]]</f>
        <v/>
      </c>
      <c r="BG294" s="376" t="n"/>
      <c r="BH294" s="376" t="n"/>
    </row>
    <row r="295">
      <c r="AO295" s="301" t="n"/>
      <c r="AP295" s="301" t="n"/>
      <c r="AQ295" s="301" t="n"/>
      <c r="AR295" s="301" t="n"/>
      <c r="AS295" s="301" t="n"/>
      <c r="AT295" s="301" t="n"/>
      <c r="AU295" s="301" t="n"/>
      <c r="AV295" s="301" t="n"/>
      <c r="AW295" s="301" t="n"/>
      <c r="AX295" s="301" t="n"/>
      <c r="AY295" s="301" t="n"/>
      <c r="AZ295" s="301" t="n"/>
      <c r="BA295" s="301" t="n"/>
      <c r="BB295" s="301" t="n"/>
      <c r="BC295" s="301" t="n"/>
      <c r="BD295" s="302" t="n">
        <v>268</v>
      </c>
      <c r="BE295" s="302" t="n">
        <v>0.000553999999999999</v>
      </c>
      <c r="BF295" s="302">
        <f>-Radwag[[#This Row],[Error]]</f>
        <v/>
      </c>
      <c r="BG295" s="376" t="n"/>
      <c r="BH295" s="376" t="n"/>
    </row>
    <row r="296">
      <c r="AO296" s="301" t="n"/>
      <c r="AP296" s="301" t="n"/>
      <c r="AQ296" s="301" t="n"/>
      <c r="AR296" s="301" t="n"/>
      <c r="AS296" s="301" t="n"/>
      <c r="AT296" s="301" t="n"/>
      <c r="AU296" s="301" t="n"/>
      <c r="AV296" s="301" t="n"/>
      <c r="AW296" s="301" t="n"/>
      <c r="AX296" s="301" t="n"/>
      <c r="AY296" s="301" t="n"/>
      <c r="AZ296" s="301" t="n"/>
      <c r="BA296" s="301" t="n"/>
      <c r="BB296" s="301" t="n"/>
      <c r="BC296" s="301" t="n"/>
      <c r="BD296" s="302" t="n">
        <v>269</v>
      </c>
      <c r="BE296" s="302" t="n">
        <v>0.000556999999999999</v>
      </c>
      <c r="BF296" s="302">
        <f>-Radwag[[#This Row],[Error]]</f>
        <v/>
      </c>
      <c r="BG296" s="376" t="n"/>
      <c r="BH296" s="376" t="n"/>
    </row>
    <row r="297">
      <c r="AO297" s="301" t="n"/>
      <c r="AP297" s="301" t="n"/>
      <c r="AQ297" s="301" t="n"/>
      <c r="AR297" s="301" t="n"/>
      <c r="AS297" s="301" t="n"/>
      <c r="AT297" s="301" t="n"/>
      <c r="AU297" s="301" t="n"/>
      <c r="AV297" s="301" t="n"/>
      <c r="AW297" s="301" t="n"/>
      <c r="AX297" s="301" t="n"/>
      <c r="AY297" s="301" t="n"/>
      <c r="AZ297" s="301" t="n"/>
      <c r="BA297" s="301" t="n"/>
      <c r="BB297" s="301" t="n"/>
      <c r="BC297" s="301" t="n"/>
      <c r="BD297" s="302" t="n">
        <v>270</v>
      </c>
      <c r="BE297" s="302" t="n">
        <v>0.000559999999999999</v>
      </c>
      <c r="BF297" s="302">
        <f>-Radwag[[#This Row],[Error]]</f>
        <v/>
      </c>
      <c r="BG297" s="376" t="n"/>
      <c r="BH297" s="376" t="n"/>
    </row>
    <row r="298">
      <c r="AO298" s="301" t="n"/>
      <c r="AP298" s="301" t="n"/>
      <c r="AQ298" s="301" t="n"/>
      <c r="AR298" s="301" t="n"/>
      <c r="AS298" s="301" t="n"/>
      <c r="AT298" s="301" t="n"/>
      <c r="AU298" s="301" t="n"/>
      <c r="AV298" s="301" t="n"/>
      <c r="AW298" s="301" t="n"/>
      <c r="AX298" s="301" t="n"/>
      <c r="AY298" s="301" t="n"/>
      <c r="AZ298" s="301" t="n"/>
      <c r="BA298" s="301" t="n"/>
      <c r="BB298" s="301" t="n"/>
      <c r="BC298" s="301" t="n"/>
      <c r="BD298" s="302" t="n">
        <v>271</v>
      </c>
      <c r="BE298" s="302" t="n">
        <v>0.000562999999999999</v>
      </c>
      <c r="BF298" s="302">
        <f>-Radwag[[#This Row],[Error]]</f>
        <v/>
      </c>
      <c r="BG298" s="376" t="n"/>
      <c r="BH298" s="376" t="n"/>
    </row>
    <row r="299">
      <c r="AO299" s="301" t="n"/>
      <c r="AP299" s="301" t="n"/>
      <c r="AQ299" s="301" t="n"/>
      <c r="AR299" s="301" t="n"/>
      <c r="AS299" s="301" t="n"/>
      <c r="AT299" s="301" t="n"/>
      <c r="AU299" s="301" t="n"/>
      <c r="AV299" s="301" t="n"/>
      <c r="AW299" s="301" t="n"/>
      <c r="AX299" s="301" t="n"/>
      <c r="AY299" s="301" t="n"/>
      <c r="AZ299" s="301" t="n"/>
      <c r="BA299" s="301" t="n"/>
      <c r="BB299" s="301" t="n"/>
      <c r="BC299" s="301" t="n"/>
      <c r="BD299" s="302" t="n">
        <v>272</v>
      </c>
      <c r="BE299" s="302" t="n">
        <v>0.000565999999999999</v>
      </c>
      <c r="BF299" s="302">
        <f>-Radwag[[#This Row],[Error]]</f>
        <v/>
      </c>
      <c r="BG299" s="376" t="n"/>
      <c r="BH299" s="376" t="n"/>
    </row>
    <row r="300">
      <c r="AO300" s="301" t="n"/>
      <c r="AP300" s="301" t="n"/>
      <c r="AQ300" s="301" t="n"/>
      <c r="AR300" s="301" t="n"/>
      <c r="AS300" s="301" t="n"/>
      <c r="AT300" s="301" t="n"/>
      <c r="AU300" s="301" t="n"/>
      <c r="AV300" s="301" t="n"/>
      <c r="AW300" s="301" t="n"/>
      <c r="AX300" s="301" t="n"/>
      <c r="AY300" s="301" t="n"/>
      <c r="AZ300" s="301" t="n"/>
      <c r="BA300" s="301" t="n"/>
      <c r="BB300" s="301" t="n"/>
      <c r="BC300" s="301" t="n"/>
      <c r="BD300" s="302" t="n">
        <v>273</v>
      </c>
      <c r="BE300" s="302" t="n">
        <v>0.000568999999999999</v>
      </c>
      <c r="BF300" s="302">
        <f>-Radwag[[#This Row],[Error]]</f>
        <v/>
      </c>
      <c r="BG300" s="376" t="n"/>
      <c r="BH300" s="376" t="n"/>
    </row>
    <row r="301">
      <c r="AO301" s="301" t="n"/>
      <c r="AP301" s="301" t="n"/>
      <c r="AQ301" s="301" t="n"/>
      <c r="AR301" s="301" t="n"/>
      <c r="AS301" s="301" t="n"/>
      <c r="AT301" s="301" t="n"/>
      <c r="AU301" s="301" t="n"/>
      <c r="AV301" s="301" t="n"/>
      <c r="AW301" s="301" t="n"/>
      <c r="AX301" s="301" t="n"/>
      <c r="AY301" s="301" t="n"/>
      <c r="AZ301" s="301" t="n"/>
      <c r="BA301" s="301" t="n"/>
      <c r="BB301" s="301" t="n"/>
      <c r="BC301" s="301" t="n"/>
      <c r="BD301" s="302" t="n">
        <v>274</v>
      </c>
      <c r="BE301" s="302" t="n">
        <v>0.0005719999999999991</v>
      </c>
      <c r="BF301" s="302">
        <f>-Radwag[[#This Row],[Error]]</f>
        <v/>
      </c>
      <c r="BG301" s="376" t="n"/>
      <c r="BH301" s="376" t="n"/>
    </row>
    <row r="302">
      <c r="AO302" s="301" t="n"/>
      <c r="AP302" s="301" t="n"/>
      <c r="AQ302" s="301" t="n"/>
      <c r="AR302" s="301" t="n"/>
      <c r="AS302" s="301" t="n"/>
      <c r="AT302" s="301" t="n"/>
      <c r="AU302" s="301" t="n"/>
      <c r="AV302" s="301" t="n"/>
      <c r="AW302" s="301" t="n"/>
      <c r="AX302" s="301" t="n"/>
      <c r="AY302" s="301" t="n"/>
      <c r="AZ302" s="301" t="n"/>
      <c r="BA302" s="301" t="n"/>
      <c r="BB302" s="301" t="n"/>
      <c r="BC302" s="301" t="n"/>
      <c r="BD302" s="302" t="n">
        <v>275</v>
      </c>
      <c r="BE302" s="302" t="n">
        <v>0.000574999999999999</v>
      </c>
      <c r="BF302" s="302">
        <f>-Radwag[[#This Row],[Error]]</f>
        <v/>
      </c>
      <c r="BG302" s="376" t="n"/>
      <c r="BH302" s="376" t="n"/>
    </row>
    <row r="303">
      <c r="AO303" s="301" t="n"/>
      <c r="AP303" s="301" t="n"/>
      <c r="AQ303" s="301" t="n"/>
      <c r="AR303" s="301" t="n"/>
      <c r="AS303" s="301" t="n"/>
      <c r="AT303" s="301" t="n"/>
      <c r="AU303" s="301" t="n"/>
      <c r="AV303" s="301" t="n"/>
      <c r="AW303" s="301" t="n"/>
      <c r="AX303" s="301" t="n"/>
      <c r="AY303" s="301" t="n"/>
      <c r="AZ303" s="301" t="n"/>
      <c r="BA303" s="301" t="n"/>
      <c r="BB303" s="301" t="n"/>
      <c r="BC303" s="301" t="n"/>
      <c r="BD303" s="302" t="n">
        <v>276</v>
      </c>
      <c r="BE303" s="302" t="n">
        <v>0.000577999999999999</v>
      </c>
      <c r="BF303" s="302">
        <f>-Radwag[[#This Row],[Error]]</f>
        <v/>
      </c>
      <c r="BG303" s="376" t="n"/>
      <c r="BH303" s="376" t="n"/>
    </row>
    <row r="304">
      <c r="AO304" s="301" t="n"/>
      <c r="AP304" s="301" t="n"/>
      <c r="AQ304" s="301" t="n"/>
      <c r="AR304" s="301" t="n"/>
      <c r="AS304" s="301" t="n"/>
      <c r="AT304" s="301" t="n"/>
      <c r="AU304" s="301" t="n"/>
      <c r="AV304" s="301" t="n"/>
      <c r="AW304" s="301" t="n"/>
      <c r="AX304" s="301" t="n"/>
      <c r="AY304" s="301" t="n"/>
      <c r="AZ304" s="301" t="n"/>
      <c r="BA304" s="301" t="n"/>
      <c r="BB304" s="301" t="n"/>
      <c r="BC304" s="301" t="n"/>
      <c r="BD304" s="302" t="n">
        <v>277</v>
      </c>
      <c r="BE304" s="302" t="n">
        <v>0.0005809999999999991</v>
      </c>
      <c r="BF304" s="302">
        <f>-Radwag[[#This Row],[Error]]</f>
        <v/>
      </c>
      <c r="BG304" s="376" t="n"/>
      <c r="BH304" s="376" t="n"/>
    </row>
    <row r="305">
      <c r="AO305" s="301" t="n"/>
      <c r="AP305" s="301" t="n"/>
      <c r="AQ305" s="301" t="n"/>
      <c r="AR305" s="301" t="n"/>
      <c r="AS305" s="301" t="n"/>
      <c r="AT305" s="301" t="n"/>
      <c r="AU305" s="301" t="n"/>
      <c r="AV305" s="301" t="n"/>
      <c r="AW305" s="301" t="n"/>
      <c r="AX305" s="301" t="n"/>
      <c r="AY305" s="301" t="n"/>
      <c r="AZ305" s="301" t="n"/>
      <c r="BA305" s="301" t="n"/>
      <c r="BB305" s="301" t="n"/>
      <c r="BC305" s="301" t="n"/>
      <c r="BD305" s="302" t="n">
        <v>278</v>
      </c>
      <c r="BE305" s="302" t="n">
        <v>0.000583999999999999</v>
      </c>
      <c r="BF305" s="302">
        <f>-Radwag[[#This Row],[Error]]</f>
        <v/>
      </c>
      <c r="BG305" s="376" t="n"/>
      <c r="BH305" s="376" t="n"/>
    </row>
    <row r="306">
      <c r="AO306" s="301" t="n"/>
      <c r="AP306" s="301" t="n"/>
      <c r="AQ306" s="301" t="n"/>
      <c r="AR306" s="301" t="n"/>
      <c r="AS306" s="301" t="n"/>
      <c r="AT306" s="301" t="n"/>
      <c r="AU306" s="301" t="n"/>
      <c r="AV306" s="301" t="n"/>
      <c r="AW306" s="301" t="n"/>
      <c r="AX306" s="301" t="n"/>
      <c r="AY306" s="301" t="n"/>
      <c r="AZ306" s="301" t="n"/>
      <c r="BA306" s="301" t="n"/>
      <c r="BB306" s="301" t="n"/>
      <c r="BC306" s="301" t="n"/>
      <c r="BD306" s="302" t="n">
        <v>279</v>
      </c>
      <c r="BE306" s="302" t="n">
        <v>0.000586999999999999</v>
      </c>
      <c r="BF306" s="302">
        <f>-Radwag[[#This Row],[Error]]</f>
        <v/>
      </c>
      <c r="BG306" s="376" t="n"/>
      <c r="BH306" s="376" t="n"/>
    </row>
    <row r="307">
      <c r="AO307" s="301" t="n"/>
      <c r="AP307" s="301" t="n"/>
      <c r="AQ307" s="301" t="n"/>
      <c r="AR307" s="301" t="n"/>
      <c r="AS307" s="301" t="n"/>
      <c r="AT307" s="301" t="n"/>
      <c r="AU307" s="301" t="n"/>
      <c r="AV307" s="301" t="n"/>
      <c r="AW307" s="301" t="n"/>
      <c r="AX307" s="301" t="n"/>
      <c r="AY307" s="301" t="n"/>
      <c r="AZ307" s="301" t="n"/>
      <c r="BA307" s="301" t="n"/>
      <c r="BB307" s="301" t="n"/>
      <c r="BC307" s="301" t="n"/>
      <c r="BD307" s="302" t="n">
        <v>280</v>
      </c>
      <c r="BE307" s="302" t="n">
        <v>0.0005899999999999991</v>
      </c>
      <c r="BF307" s="302">
        <f>-Radwag[[#This Row],[Error]]</f>
        <v/>
      </c>
      <c r="BG307" s="376" t="n"/>
      <c r="BH307" s="376" t="n"/>
    </row>
    <row r="308">
      <c r="AO308" s="301" t="n"/>
      <c r="AP308" s="301" t="n"/>
      <c r="AQ308" s="301" t="n"/>
      <c r="AR308" s="301" t="n"/>
      <c r="AS308" s="301" t="n"/>
      <c r="AT308" s="301" t="n"/>
      <c r="AU308" s="301" t="n"/>
      <c r="AV308" s="301" t="n"/>
      <c r="AW308" s="301" t="n"/>
      <c r="AX308" s="301" t="n"/>
      <c r="AY308" s="301" t="n"/>
      <c r="AZ308" s="301" t="n"/>
      <c r="BA308" s="301" t="n"/>
      <c r="BB308" s="301" t="n"/>
      <c r="BC308" s="301" t="n"/>
      <c r="BD308" s="302" t="n">
        <v>281</v>
      </c>
      <c r="BE308" s="302" t="n">
        <v>0.000592999999999999</v>
      </c>
      <c r="BF308" s="302">
        <f>-Radwag[[#This Row],[Error]]</f>
        <v/>
      </c>
      <c r="BG308" s="376" t="n"/>
      <c r="BH308" s="376" t="n"/>
    </row>
    <row r="309">
      <c r="AO309" s="301" t="n"/>
      <c r="AP309" s="301" t="n"/>
      <c r="AQ309" s="301" t="n"/>
      <c r="AR309" s="301" t="n"/>
      <c r="AS309" s="301" t="n"/>
      <c r="AT309" s="301" t="n"/>
      <c r="AU309" s="301" t="n"/>
      <c r="AV309" s="301" t="n"/>
      <c r="AW309" s="301" t="n"/>
      <c r="AX309" s="301" t="n"/>
      <c r="AY309" s="301" t="n"/>
      <c r="AZ309" s="301" t="n"/>
      <c r="BA309" s="301" t="n"/>
      <c r="BB309" s="301" t="n"/>
      <c r="BC309" s="301" t="n"/>
      <c r="BD309" s="302" t="n">
        <v>282</v>
      </c>
      <c r="BE309" s="302" t="n">
        <v>0.000595999999999999</v>
      </c>
      <c r="BF309" s="302">
        <f>-Radwag[[#This Row],[Error]]</f>
        <v/>
      </c>
      <c r="BG309" s="376" t="n"/>
      <c r="BH309" s="376" t="n"/>
    </row>
    <row r="310">
      <c r="AO310" s="301" t="n"/>
      <c r="AP310" s="301" t="n"/>
      <c r="AQ310" s="301" t="n"/>
      <c r="AR310" s="301" t="n"/>
      <c r="AS310" s="301" t="n"/>
      <c r="AT310" s="301" t="n"/>
      <c r="AU310" s="301" t="n"/>
      <c r="AV310" s="301" t="n"/>
      <c r="AW310" s="301" t="n"/>
      <c r="AX310" s="301" t="n"/>
      <c r="AY310" s="301" t="n"/>
      <c r="AZ310" s="301" t="n"/>
      <c r="BA310" s="301" t="n"/>
      <c r="BB310" s="301" t="n"/>
      <c r="BC310" s="301" t="n"/>
      <c r="BD310" s="302" t="n">
        <v>283</v>
      </c>
      <c r="BE310" s="302" t="n">
        <v>0.0005989999999999989</v>
      </c>
      <c r="BF310" s="302">
        <f>-Radwag[[#This Row],[Error]]</f>
        <v/>
      </c>
      <c r="BG310" s="376" t="n"/>
      <c r="BH310" s="376" t="n"/>
    </row>
    <row r="311">
      <c r="AO311" s="301" t="n"/>
      <c r="AP311" s="301" t="n"/>
      <c r="AQ311" s="301" t="n"/>
      <c r="AR311" s="301" t="n"/>
      <c r="AS311" s="301" t="n"/>
      <c r="AT311" s="301" t="n"/>
      <c r="AU311" s="301" t="n"/>
      <c r="AV311" s="301" t="n"/>
      <c r="AW311" s="301" t="n"/>
      <c r="AX311" s="301" t="n"/>
      <c r="AY311" s="301" t="n"/>
      <c r="AZ311" s="301" t="n"/>
      <c r="BA311" s="301" t="n"/>
      <c r="BB311" s="301" t="n"/>
      <c r="BC311" s="301" t="n"/>
      <c r="BD311" s="302" t="n">
        <v>284</v>
      </c>
      <c r="BE311" s="302" t="n">
        <v>0.000601999999999999</v>
      </c>
      <c r="BF311" s="302">
        <f>-Radwag[[#This Row],[Error]]</f>
        <v/>
      </c>
      <c r="BG311" s="376" t="n"/>
      <c r="BH311" s="376" t="n"/>
    </row>
    <row r="312">
      <c r="AO312" s="301" t="n"/>
      <c r="AP312" s="301" t="n"/>
      <c r="AQ312" s="301" t="n"/>
      <c r="AR312" s="301" t="n"/>
      <c r="AS312" s="301" t="n"/>
      <c r="AT312" s="301" t="n"/>
      <c r="AU312" s="301" t="n"/>
      <c r="AV312" s="301" t="n"/>
      <c r="AW312" s="301" t="n"/>
      <c r="AX312" s="301" t="n"/>
      <c r="AY312" s="301" t="n"/>
      <c r="AZ312" s="301" t="n"/>
      <c r="BA312" s="301" t="n"/>
      <c r="BB312" s="301" t="n"/>
      <c r="BC312" s="301" t="n"/>
      <c r="BD312" s="302" t="n">
        <v>285</v>
      </c>
      <c r="BE312" s="302" t="n">
        <v>0.000604999999999999</v>
      </c>
      <c r="BF312" s="302">
        <f>-Radwag[[#This Row],[Error]]</f>
        <v/>
      </c>
      <c r="BG312" s="376" t="n"/>
      <c r="BH312" s="376" t="n"/>
    </row>
    <row r="313">
      <c r="AO313" s="301" t="n"/>
      <c r="AP313" s="301" t="n"/>
      <c r="AQ313" s="301" t="n"/>
      <c r="AR313" s="301" t="n"/>
      <c r="AS313" s="301" t="n"/>
      <c r="AT313" s="301" t="n"/>
      <c r="AU313" s="301" t="n"/>
      <c r="AV313" s="301" t="n"/>
      <c r="AW313" s="301" t="n"/>
      <c r="AX313" s="301" t="n"/>
      <c r="AY313" s="301" t="n"/>
      <c r="AZ313" s="301" t="n"/>
      <c r="BA313" s="301" t="n"/>
      <c r="BB313" s="301" t="n"/>
      <c r="BC313" s="301" t="n"/>
      <c r="BD313" s="302" t="n">
        <v>286</v>
      </c>
      <c r="BE313" s="302" t="n">
        <v>0.0006079999999999989</v>
      </c>
      <c r="BF313" s="302">
        <f>-Radwag[[#This Row],[Error]]</f>
        <v/>
      </c>
      <c r="BG313" s="376" t="n"/>
      <c r="BH313" s="376" t="n"/>
    </row>
    <row r="314">
      <c r="AO314" s="301" t="n"/>
      <c r="AP314" s="301" t="n"/>
      <c r="AQ314" s="301" t="n"/>
      <c r="AR314" s="301" t="n"/>
      <c r="AS314" s="301" t="n"/>
      <c r="AT314" s="301" t="n"/>
      <c r="AU314" s="301" t="n"/>
      <c r="AV314" s="301" t="n"/>
      <c r="AW314" s="301" t="n"/>
      <c r="AX314" s="301" t="n"/>
      <c r="AY314" s="301" t="n"/>
      <c r="AZ314" s="301" t="n"/>
      <c r="BA314" s="301" t="n"/>
      <c r="BB314" s="301" t="n"/>
      <c r="BC314" s="301" t="n"/>
      <c r="BD314" s="302" t="n">
        <v>287</v>
      </c>
      <c r="BE314" s="302" t="n">
        <v>0.000610999999999999</v>
      </c>
      <c r="BF314" s="302">
        <f>-Radwag[[#This Row],[Error]]</f>
        <v/>
      </c>
      <c r="BG314" s="376" t="n"/>
      <c r="BH314" s="376" t="n"/>
    </row>
    <row r="315">
      <c r="AO315" s="301" t="n"/>
      <c r="AP315" s="301" t="n"/>
      <c r="AQ315" s="301" t="n"/>
      <c r="AR315" s="301" t="n"/>
      <c r="AS315" s="301" t="n"/>
      <c r="AT315" s="301" t="n"/>
      <c r="AU315" s="301" t="n"/>
      <c r="AV315" s="301" t="n"/>
      <c r="AW315" s="301" t="n"/>
      <c r="AX315" s="301" t="n"/>
      <c r="AY315" s="301" t="n"/>
      <c r="AZ315" s="301" t="n"/>
      <c r="BA315" s="301" t="n"/>
      <c r="BB315" s="301" t="n"/>
      <c r="BC315" s="301" t="n"/>
      <c r="BD315" s="302" t="n">
        <v>288</v>
      </c>
      <c r="BE315" s="302" t="n">
        <v>0.000613999999999999</v>
      </c>
      <c r="BF315" s="302">
        <f>-Radwag[[#This Row],[Error]]</f>
        <v/>
      </c>
      <c r="BG315" s="376" t="n"/>
      <c r="BH315" s="376" t="n"/>
    </row>
    <row r="316">
      <c r="AO316" s="301" t="n"/>
      <c r="AP316" s="301" t="n"/>
      <c r="AQ316" s="301" t="n"/>
      <c r="AR316" s="301" t="n"/>
      <c r="AS316" s="301" t="n"/>
      <c r="AT316" s="301" t="n"/>
      <c r="AU316" s="301" t="n"/>
      <c r="AV316" s="301" t="n"/>
      <c r="AW316" s="301" t="n"/>
      <c r="AX316" s="301" t="n"/>
      <c r="AY316" s="301" t="n"/>
      <c r="AZ316" s="301" t="n"/>
      <c r="BA316" s="301" t="n"/>
      <c r="BB316" s="301" t="n"/>
      <c r="BC316" s="301" t="n"/>
      <c r="BD316" s="302" t="n">
        <v>289</v>
      </c>
      <c r="BE316" s="302" t="n">
        <v>0.000616999999999999</v>
      </c>
      <c r="BF316" s="302">
        <f>-Radwag[[#This Row],[Error]]</f>
        <v/>
      </c>
      <c r="BG316" s="376" t="n"/>
      <c r="BH316" s="376" t="n"/>
    </row>
    <row r="317">
      <c r="AO317" s="301" t="n"/>
      <c r="AP317" s="301" t="n"/>
      <c r="AQ317" s="301" t="n"/>
      <c r="AR317" s="301" t="n"/>
      <c r="AS317" s="301" t="n"/>
      <c r="AT317" s="301" t="n"/>
      <c r="AU317" s="301" t="n"/>
      <c r="AV317" s="301" t="n"/>
      <c r="AW317" s="301" t="n"/>
      <c r="AX317" s="301" t="n"/>
      <c r="AY317" s="301" t="n"/>
      <c r="AZ317" s="301" t="n"/>
      <c r="BA317" s="301" t="n"/>
      <c r="BB317" s="301" t="n"/>
      <c r="BC317" s="301" t="n"/>
      <c r="BD317" s="302" t="n">
        <v>290</v>
      </c>
      <c r="BE317" s="302" t="n">
        <v>0.000619999999999999</v>
      </c>
      <c r="BF317" s="302">
        <f>-Radwag[[#This Row],[Error]]</f>
        <v/>
      </c>
      <c r="BG317" s="376" t="n"/>
      <c r="BH317" s="376" t="n"/>
    </row>
    <row r="318">
      <c r="AO318" s="301" t="n"/>
      <c r="AP318" s="301" t="n"/>
      <c r="AQ318" s="301" t="n"/>
      <c r="AR318" s="301" t="n"/>
      <c r="AS318" s="301" t="n"/>
      <c r="AT318" s="301" t="n"/>
      <c r="AU318" s="301" t="n"/>
      <c r="AV318" s="301" t="n"/>
      <c r="AW318" s="301" t="n"/>
      <c r="AX318" s="301" t="n"/>
      <c r="AY318" s="301" t="n"/>
      <c r="AZ318" s="301" t="n"/>
      <c r="BA318" s="301" t="n"/>
      <c r="BB318" s="301" t="n"/>
      <c r="BC318" s="301" t="n"/>
      <c r="BD318" s="302" t="n">
        <v>291</v>
      </c>
      <c r="BE318" s="302" t="n">
        <v>0.000622999999999999</v>
      </c>
      <c r="BF318" s="302">
        <f>-Radwag[[#This Row],[Error]]</f>
        <v/>
      </c>
      <c r="BG318" s="376" t="n"/>
      <c r="BH318" s="376" t="n"/>
    </row>
    <row r="319">
      <c r="AO319" s="301" t="n"/>
      <c r="AP319" s="301" t="n"/>
      <c r="AQ319" s="301" t="n"/>
      <c r="AR319" s="301" t="n"/>
      <c r="AS319" s="301" t="n"/>
      <c r="AT319" s="301" t="n"/>
      <c r="AU319" s="301" t="n"/>
      <c r="AV319" s="301" t="n"/>
      <c r="AW319" s="301" t="n"/>
      <c r="AX319" s="301" t="n"/>
      <c r="AY319" s="301" t="n"/>
      <c r="AZ319" s="301" t="n"/>
      <c r="BA319" s="301" t="n"/>
      <c r="BB319" s="301" t="n"/>
      <c r="BC319" s="301" t="n"/>
      <c r="BD319" s="302" t="n">
        <v>292</v>
      </c>
      <c r="BE319" s="302" t="n">
        <v>0.000625999999999999</v>
      </c>
      <c r="BF319" s="302">
        <f>-Radwag[[#This Row],[Error]]</f>
        <v/>
      </c>
      <c r="BG319" s="376" t="n"/>
      <c r="BH319" s="376" t="n"/>
    </row>
    <row r="320">
      <c r="AO320" s="301" t="n"/>
      <c r="AP320" s="301" t="n"/>
      <c r="AQ320" s="301" t="n"/>
      <c r="AR320" s="301" t="n"/>
      <c r="AS320" s="301" t="n"/>
      <c r="AT320" s="301" t="n"/>
      <c r="AU320" s="301" t="n"/>
      <c r="AV320" s="301" t="n"/>
      <c r="AW320" s="301" t="n"/>
      <c r="AX320" s="301" t="n"/>
      <c r="AY320" s="301" t="n"/>
      <c r="AZ320" s="301" t="n"/>
      <c r="BA320" s="301" t="n"/>
      <c r="BB320" s="301" t="n"/>
      <c r="BC320" s="301" t="n"/>
      <c r="BD320" s="302" t="n">
        <v>293</v>
      </c>
      <c r="BE320" s="302" t="n">
        <v>0.0006289999999999981</v>
      </c>
      <c r="BF320" s="302">
        <f>-Radwag[[#This Row],[Error]]</f>
        <v/>
      </c>
      <c r="BG320" s="376" t="n"/>
      <c r="BH320" s="376" t="n"/>
    </row>
    <row r="321">
      <c r="AO321" s="301" t="n"/>
      <c r="AP321" s="301" t="n"/>
      <c r="AQ321" s="301" t="n"/>
      <c r="AR321" s="301" t="n"/>
      <c r="AS321" s="301" t="n"/>
      <c r="AT321" s="301" t="n"/>
      <c r="AU321" s="301" t="n"/>
      <c r="AV321" s="301" t="n"/>
      <c r="AW321" s="301" t="n"/>
      <c r="AX321" s="301" t="n"/>
      <c r="AY321" s="301" t="n"/>
      <c r="AZ321" s="301" t="n"/>
      <c r="BA321" s="301" t="n"/>
      <c r="BB321" s="301" t="n"/>
      <c r="BC321" s="301" t="n"/>
      <c r="BD321" s="302" t="n">
        <v>294</v>
      </c>
      <c r="BE321" s="302" t="n">
        <v>0.000631999999999998</v>
      </c>
      <c r="BF321" s="302">
        <f>-Radwag[[#This Row],[Error]]</f>
        <v/>
      </c>
      <c r="BG321" s="376" t="n"/>
      <c r="BH321" s="376" t="n"/>
    </row>
    <row r="322">
      <c r="AO322" s="301" t="n"/>
      <c r="AP322" s="301" t="n"/>
      <c r="AQ322" s="301" t="n"/>
      <c r="AR322" s="301" t="n"/>
      <c r="AS322" s="301" t="n"/>
      <c r="AT322" s="301" t="n"/>
      <c r="AU322" s="301" t="n"/>
      <c r="AV322" s="301" t="n"/>
      <c r="AW322" s="301" t="n"/>
      <c r="AX322" s="301" t="n"/>
      <c r="AY322" s="301" t="n"/>
      <c r="AZ322" s="301" t="n"/>
      <c r="BA322" s="301" t="n"/>
      <c r="BB322" s="301" t="n"/>
      <c r="BC322" s="301" t="n"/>
      <c r="BD322" s="302" t="n">
        <v>295</v>
      </c>
      <c r="BE322" s="302" t="n">
        <v>0.000634999999999998</v>
      </c>
      <c r="BF322" s="302">
        <f>-Radwag[[#This Row],[Error]]</f>
        <v/>
      </c>
      <c r="BG322" s="376" t="n"/>
      <c r="BH322" s="376" t="n"/>
    </row>
    <row r="323">
      <c r="AO323" s="301" t="n"/>
      <c r="AP323" s="301" t="n"/>
      <c r="AQ323" s="301" t="n"/>
      <c r="AR323" s="301" t="n"/>
      <c r="AS323" s="301" t="n"/>
      <c r="AT323" s="301" t="n"/>
      <c r="AU323" s="301" t="n"/>
      <c r="AV323" s="301" t="n"/>
      <c r="AW323" s="301" t="n"/>
      <c r="AX323" s="301" t="n"/>
      <c r="AY323" s="301" t="n"/>
      <c r="AZ323" s="301" t="n"/>
      <c r="BA323" s="301" t="n"/>
      <c r="BB323" s="301" t="n"/>
      <c r="BC323" s="301" t="n"/>
      <c r="BD323" s="302" t="n">
        <v>296</v>
      </c>
      <c r="BE323" s="302" t="n">
        <v>0.0006379999999999981</v>
      </c>
      <c r="BF323" s="302">
        <f>-Radwag[[#This Row],[Error]]</f>
        <v/>
      </c>
      <c r="BG323" s="376" t="n"/>
      <c r="BH323" s="376" t="n"/>
    </row>
    <row r="324">
      <c r="AO324" s="301" t="n"/>
      <c r="AP324" s="301" t="n"/>
      <c r="AQ324" s="301" t="n"/>
      <c r="AR324" s="301" t="n"/>
      <c r="AS324" s="301" t="n"/>
      <c r="AT324" s="301" t="n"/>
      <c r="AU324" s="301" t="n"/>
      <c r="AV324" s="301" t="n"/>
      <c r="AW324" s="301" t="n"/>
      <c r="AX324" s="301" t="n"/>
      <c r="AY324" s="301" t="n"/>
      <c r="AZ324" s="301" t="n"/>
      <c r="BA324" s="301" t="n"/>
      <c r="BB324" s="301" t="n"/>
      <c r="BC324" s="301" t="n"/>
      <c r="BD324" s="302" t="n">
        <v>297</v>
      </c>
      <c r="BE324" s="302" t="n">
        <v>0.000640999999999998</v>
      </c>
      <c r="BF324" s="302">
        <f>-Radwag[[#This Row],[Error]]</f>
        <v/>
      </c>
      <c r="BG324" s="376" t="n"/>
      <c r="BH324" s="376" t="n"/>
    </row>
    <row r="325">
      <c r="AO325" s="301" t="n"/>
      <c r="AP325" s="301" t="n"/>
      <c r="AQ325" s="301" t="n"/>
      <c r="AR325" s="301" t="n"/>
      <c r="AS325" s="301" t="n"/>
      <c r="AT325" s="301" t="n"/>
      <c r="AU325" s="301" t="n"/>
      <c r="AV325" s="301" t="n"/>
      <c r="AW325" s="301" t="n"/>
      <c r="AX325" s="301" t="n"/>
      <c r="AY325" s="301" t="n"/>
      <c r="AZ325" s="301" t="n"/>
      <c r="BA325" s="301" t="n"/>
      <c r="BB325" s="301" t="n"/>
      <c r="BC325" s="301" t="n"/>
      <c r="BD325" s="302" t="n">
        <v>298</v>
      </c>
      <c r="BE325" s="302" t="n">
        <v>0.000643999999999998</v>
      </c>
      <c r="BF325" s="302">
        <f>-Radwag[[#This Row],[Error]]</f>
        <v/>
      </c>
      <c r="BG325" s="376" t="n"/>
      <c r="BH325" s="376" t="n"/>
    </row>
    <row r="326">
      <c r="AO326" s="301" t="n"/>
      <c r="AP326" s="301" t="n"/>
      <c r="AQ326" s="301" t="n"/>
      <c r="AR326" s="301" t="n"/>
      <c r="AS326" s="301" t="n"/>
      <c r="AT326" s="301" t="n"/>
      <c r="AU326" s="301" t="n"/>
      <c r="AV326" s="301" t="n"/>
      <c r="AW326" s="301" t="n"/>
      <c r="AX326" s="301" t="n"/>
      <c r="AY326" s="301" t="n"/>
      <c r="AZ326" s="301" t="n"/>
      <c r="BA326" s="301" t="n"/>
      <c r="BB326" s="301" t="n"/>
      <c r="BC326" s="301" t="n"/>
      <c r="BD326" s="302" t="n">
        <v>299</v>
      </c>
      <c r="BE326" s="302" t="n">
        <v>0.0006469999999999981</v>
      </c>
      <c r="BF326" s="302">
        <f>-Radwag[[#This Row],[Error]]</f>
        <v/>
      </c>
      <c r="BG326" s="376" t="n"/>
      <c r="BH326" s="376" t="n"/>
    </row>
    <row r="327">
      <c r="AO327" s="301" t="n"/>
      <c r="AP327" s="301" t="n"/>
      <c r="AQ327" s="301" t="n"/>
      <c r="AR327" s="301" t="n"/>
      <c r="AS327" s="301" t="n"/>
      <c r="AT327" s="301" t="n"/>
      <c r="AU327" s="301" t="n"/>
      <c r="AV327" s="301" t="n"/>
      <c r="AW327" s="301" t="n"/>
      <c r="AX327" s="301" t="n"/>
      <c r="AY327" s="301" t="n"/>
      <c r="AZ327" s="301" t="n"/>
      <c r="BA327" s="301" t="n"/>
      <c r="BB327" s="301" t="n"/>
      <c r="BC327" s="301" t="n"/>
      <c r="BD327" s="302" t="n">
        <v>300</v>
      </c>
      <c r="BE327" s="302" t="n">
        <v>0.000649999999999998</v>
      </c>
      <c r="BF327" s="302">
        <f>-Radwag[[#This Row],[Error]]</f>
        <v/>
      </c>
      <c r="BG327" s="376" t="n"/>
      <c r="BH327" s="376" t="n"/>
    </row>
    <row r="328">
      <c r="AO328" s="301" t="n"/>
      <c r="AP328" s="301" t="n"/>
      <c r="AQ328" s="301" t="n"/>
      <c r="AR328" s="301" t="n"/>
      <c r="AS328" s="301" t="n"/>
      <c r="AT328" s="301" t="n"/>
      <c r="AU328" s="301" t="n"/>
      <c r="AV328" s="301" t="n"/>
      <c r="AW328" s="301" t="n"/>
      <c r="AX328" s="301" t="n"/>
      <c r="AY328" s="301" t="n"/>
      <c r="AZ328" s="301" t="n"/>
      <c r="BA328" s="301" t="n"/>
      <c r="BB328" s="301" t="n"/>
      <c r="BC328" s="301" t="n"/>
      <c r="BD328" s="302" t="n">
        <v>301</v>
      </c>
      <c r="BE328" s="302" t="n">
        <v>0.000655</v>
      </c>
      <c r="BF328" s="302">
        <f>-Radwag[[#This Row],[Error]]</f>
        <v/>
      </c>
      <c r="BG328" s="376" t="n"/>
      <c r="BH328" s="376" t="n"/>
    </row>
    <row r="329">
      <c r="AO329" s="301" t="n"/>
      <c r="AP329" s="301" t="n"/>
      <c r="AQ329" s="301" t="n"/>
      <c r="AR329" s="301" t="n"/>
      <c r="AS329" s="301" t="n"/>
      <c r="AT329" s="301" t="n"/>
      <c r="AU329" s="301" t="n"/>
      <c r="AV329" s="301" t="n"/>
      <c r="AW329" s="301" t="n"/>
      <c r="AX329" s="301" t="n"/>
      <c r="AY329" s="301" t="n"/>
      <c r="AZ329" s="301" t="n"/>
      <c r="BA329" s="301" t="n"/>
      <c r="BB329" s="301" t="n"/>
      <c r="BC329" s="301" t="n"/>
      <c r="BD329" s="302" t="n">
        <v>302</v>
      </c>
      <c r="BE329" s="302" t="n">
        <v>0.00066</v>
      </c>
      <c r="BF329" s="302">
        <f>-Radwag[[#This Row],[Error]]</f>
        <v/>
      </c>
      <c r="BG329" s="376" t="n"/>
      <c r="BH329" s="376" t="n"/>
    </row>
    <row r="330">
      <c r="AO330" s="301" t="n"/>
      <c r="AP330" s="301" t="n"/>
      <c r="AQ330" s="301" t="n"/>
      <c r="AR330" s="301" t="n"/>
      <c r="AS330" s="301" t="n"/>
      <c r="AT330" s="301" t="n"/>
      <c r="AU330" s="301" t="n"/>
      <c r="AV330" s="301" t="n"/>
      <c r="AW330" s="301" t="n"/>
      <c r="AX330" s="301" t="n"/>
      <c r="AY330" s="301" t="n"/>
      <c r="AZ330" s="301" t="n"/>
      <c r="BA330" s="301" t="n"/>
      <c r="BB330" s="301" t="n"/>
      <c r="BC330" s="301" t="n"/>
      <c r="BD330" s="302" t="n">
        <v>303</v>
      </c>
      <c r="BE330" s="302" t="n">
        <v>0.000665</v>
      </c>
      <c r="BF330" s="302">
        <f>-Radwag[[#This Row],[Error]]</f>
        <v/>
      </c>
      <c r="BG330" s="376" t="n"/>
      <c r="BH330" s="376" t="n"/>
    </row>
    <row r="331">
      <c r="AO331" s="301" t="n"/>
      <c r="AP331" s="301" t="n"/>
      <c r="AQ331" s="301" t="n"/>
      <c r="AR331" s="301" t="n"/>
      <c r="AS331" s="301" t="n"/>
      <c r="AT331" s="301" t="n"/>
      <c r="AU331" s="301" t="n"/>
      <c r="AV331" s="301" t="n"/>
      <c r="AW331" s="301" t="n"/>
      <c r="AX331" s="301" t="n"/>
      <c r="AY331" s="301" t="n"/>
      <c r="AZ331" s="301" t="n"/>
      <c r="BA331" s="301" t="n"/>
      <c r="BB331" s="301" t="n"/>
      <c r="BC331" s="301" t="n"/>
      <c r="BD331" s="302" t="n">
        <v>304</v>
      </c>
      <c r="BE331" s="302" t="n">
        <v>0.00067</v>
      </c>
      <c r="BF331" s="302">
        <f>-Radwag[[#This Row],[Error]]</f>
        <v/>
      </c>
      <c r="BG331" s="376" t="n"/>
      <c r="BH331" s="376" t="n"/>
    </row>
    <row r="332">
      <c r="AO332" s="301" t="n"/>
      <c r="AP332" s="301" t="n"/>
      <c r="AQ332" s="301" t="n"/>
      <c r="AR332" s="301" t="n"/>
      <c r="AS332" s="301" t="n"/>
      <c r="AT332" s="301" t="n"/>
      <c r="AU332" s="301" t="n"/>
      <c r="AV332" s="301" t="n"/>
      <c r="AW332" s="301" t="n"/>
      <c r="AX332" s="301" t="n"/>
      <c r="AY332" s="301" t="n"/>
      <c r="AZ332" s="301" t="n"/>
      <c r="BA332" s="301" t="n"/>
      <c r="BB332" s="301" t="n"/>
      <c r="BC332" s="301" t="n"/>
      <c r="BD332" s="302" t="n">
        <v>305</v>
      </c>
      <c r="BE332" s="302" t="n">
        <v>0.000675</v>
      </c>
      <c r="BF332" s="302">
        <f>-Radwag[[#This Row],[Error]]</f>
        <v/>
      </c>
      <c r="BG332" s="376" t="n"/>
      <c r="BH332" s="376" t="n"/>
    </row>
    <row r="333">
      <c r="AO333" s="301" t="n"/>
      <c r="AP333" s="301" t="n"/>
      <c r="AQ333" s="301" t="n"/>
      <c r="AR333" s="301" t="n"/>
      <c r="AS333" s="301" t="n"/>
      <c r="AT333" s="301" t="n"/>
      <c r="AU333" s="301" t="n"/>
      <c r="AV333" s="301" t="n"/>
      <c r="AW333" s="301" t="n"/>
      <c r="AX333" s="301" t="n"/>
      <c r="AY333" s="301" t="n"/>
      <c r="AZ333" s="301" t="n"/>
      <c r="BA333" s="301" t="n"/>
      <c r="BB333" s="301" t="n"/>
      <c r="BC333" s="301" t="n"/>
      <c r="BD333" s="302" t="n">
        <v>306</v>
      </c>
      <c r="BE333" s="302" t="n">
        <v>0.00068</v>
      </c>
      <c r="BF333" s="302">
        <f>-Radwag[[#This Row],[Error]]</f>
        <v/>
      </c>
      <c r="BG333" s="376" t="n"/>
      <c r="BH333" s="376" t="n"/>
    </row>
    <row r="334">
      <c r="AO334" s="301" t="n"/>
      <c r="AP334" s="301" t="n"/>
      <c r="AQ334" s="301" t="n"/>
      <c r="AR334" s="301" t="n"/>
      <c r="AS334" s="301" t="n"/>
      <c r="AT334" s="301" t="n"/>
      <c r="AU334" s="301" t="n"/>
      <c r="AV334" s="301" t="n"/>
      <c r="AW334" s="301" t="n"/>
      <c r="AX334" s="301" t="n"/>
      <c r="AY334" s="301" t="n"/>
      <c r="AZ334" s="301" t="n"/>
      <c r="BA334" s="301" t="n"/>
      <c r="BB334" s="301" t="n"/>
      <c r="BC334" s="301" t="n"/>
      <c r="BD334" s="302" t="n">
        <v>307</v>
      </c>
      <c r="BE334" s="302" t="n">
        <v>0.000685</v>
      </c>
      <c r="BF334" s="302">
        <f>-Radwag[[#This Row],[Error]]</f>
        <v/>
      </c>
      <c r="BG334" s="376" t="n"/>
      <c r="BH334" s="376" t="n"/>
    </row>
    <row r="335">
      <c r="AO335" s="301" t="n"/>
      <c r="AP335" s="301" t="n"/>
      <c r="AQ335" s="301" t="n"/>
      <c r="AR335" s="301" t="n"/>
      <c r="AS335" s="301" t="n"/>
      <c r="AT335" s="301" t="n"/>
      <c r="AU335" s="301" t="n"/>
      <c r="AV335" s="301" t="n"/>
      <c r="AW335" s="301" t="n"/>
      <c r="AX335" s="301" t="n"/>
      <c r="AY335" s="301" t="n"/>
      <c r="AZ335" s="301" t="n"/>
      <c r="BA335" s="301" t="n"/>
      <c r="BB335" s="301" t="n"/>
      <c r="BC335" s="301" t="n"/>
      <c r="BD335" s="302" t="n">
        <v>308</v>
      </c>
      <c r="BE335" s="302" t="n">
        <v>0.00069</v>
      </c>
      <c r="BF335" s="302">
        <f>-Radwag[[#This Row],[Error]]</f>
        <v/>
      </c>
      <c r="BG335" s="376" t="n"/>
      <c r="BH335" s="376" t="n"/>
    </row>
    <row r="336">
      <c r="AO336" s="301" t="n"/>
      <c r="AP336" s="301" t="n"/>
      <c r="AQ336" s="301" t="n"/>
      <c r="AR336" s="301" t="n"/>
      <c r="AS336" s="301" t="n"/>
      <c r="AT336" s="301" t="n"/>
      <c r="AU336" s="301" t="n"/>
      <c r="AV336" s="301" t="n"/>
      <c r="AW336" s="301" t="n"/>
      <c r="AX336" s="301" t="n"/>
      <c r="AY336" s="301" t="n"/>
      <c r="AZ336" s="301" t="n"/>
      <c r="BA336" s="301" t="n"/>
      <c r="BB336" s="301" t="n"/>
      <c r="BC336" s="301" t="n"/>
      <c r="BD336" s="302" t="n">
        <v>309</v>
      </c>
      <c r="BE336" s="302" t="n">
        <v>0.000695</v>
      </c>
      <c r="BF336" s="302">
        <f>-Radwag[[#This Row],[Error]]</f>
        <v/>
      </c>
      <c r="BG336" s="376" t="n"/>
      <c r="BH336" s="376" t="n"/>
    </row>
    <row r="337">
      <c r="AO337" s="301" t="n"/>
      <c r="AP337" s="301" t="n"/>
      <c r="AQ337" s="301" t="n"/>
      <c r="AR337" s="301" t="n"/>
      <c r="AS337" s="301" t="n"/>
      <c r="AT337" s="301" t="n"/>
      <c r="AU337" s="301" t="n"/>
      <c r="AV337" s="301" t="n"/>
      <c r="AW337" s="301" t="n"/>
      <c r="AX337" s="301" t="n"/>
      <c r="AY337" s="301" t="n"/>
      <c r="AZ337" s="301" t="n"/>
      <c r="BA337" s="301" t="n"/>
      <c r="BB337" s="301" t="n"/>
      <c r="BC337" s="301" t="n"/>
      <c r="BD337" s="302" t="n">
        <v>310</v>
      </c>
      <c r="BE337" s="302" t="n">
        <v>0.0007</v>
      </c>
      <c r="BF337" s="302">
        <f>-Radwag[[#This Row],[Error]]</f>
        <v/>
      </c>
      <c r="BG337" s="376" t="n"/>
      <c r="BH337" s="376" t="n"/>
    </row>
    <row r="338">
      <c r="AO338" s="301" t="n"/>
      <c r="AP338" s="301" t="n"/>
      <c r="AQ338" s="301" t="n"/>
      <c r="AR338" s="301" t="n"/>
      <c r="AS338" s="301" t="n"/>
      <c r="AT338" s="301" t="n"/>
      <c r="AU338" s="301" t="n"/>
      <c r="AV338" s="301" t="n"/>
      <c r="AW338" s="301" t="n"/>
      <c r="AX338" s="301" t="n"/>
      <c r="AY338" s="301" t="n"/>
      <c r="AZ338" s="301" t="n"/>
      <c r="BA338" s="301" t="n"/>
      <c r="BB338" s="301" t="n"/>
      <c r="BC338" s="301" t="n"/>
      <c r="BD338" s="302" t="n"/>
      <c r="BE338" s="302" t="n"/>
      <c r="BF338" s="302" t="n"/>
      <c r="BG338" s="376" t="n"/>
      <c r="BH338" s="376" t="n"/>
    </row>
    <row r="339">
      <c r="AO339" s="301" t="n"/>
      <c r="AP339" s="301" t="n"/>
      <c r="AQ339" s="301" t="n"/>
      <c r="AR339" s="301" t="n"/>
      <c r="AS339" s="301" t="n"/>
      <c r="AT339" s="301" t="n"/>
      <c r="AU339" s="301" t="n"/>
      <c r="AV339" s="301" t="n"/>
      <c r="AW339" s="301" t="n"/>
      <c r="AX339" s="301" t="n"/>
      <c r="AY339" s="301" t="n"/>
      <c r="AZ339" s="301" t="n"/>
      <c r="BA339" s="301" t="n"/>
      <c r="BB339" s="301" t="n"/>
      <c r="BC339" s="301" t="n"/>
      <c r="BD339" s="302" t="n"/>
      <c r="BE339" s="302" t="n"/>
      <c r="BF339" s="302" t="n"/>
      <c r="BG339" s="376" t="n"/>
      <c r="BH339" s="376" t="n"/>
    </row>
    <row r="340">
      <c r="AO340" s="301" t="n"/>
      <c r="AP340" s="301" t="n"/>
      <c r="AQ340" s="301" t="n"/>
      <c r="AR340" s="301" t="n"/>
      <c r="AS340" s="301" t="n"/>
      <c r="AT340" s="301" t="n"/>
      <c r="AU340" s="301" t="n"/>
      <c r="AV340" s="301" t="n"/>
      <c r="AW340" s="301" t="n"/>
      <c r="AX340" s="301" t="n"/>
      <c r="AY340" s="301" t="n"/>
      <c r="AZ340" s="301" t="n"/>
      <c r="BA340" s="301" t="n"/>
      <c r="BB340" s="301" t="n"/>
      <c r="BC340" s="301" t="n"/>
      <c r="BD340" s="302" t="n"/>
      <c r="BE340" s="302" t="n"/>
      <c r="BF340" s="302" t="n"/>
      <c r="BG340" s="376" t="n"/>
      <c r="BH340" s="376" t="n"/>
    </row>
    <row r="341">
      <c r="AO341" s="301" t="n"/>
      <c r="AP341" s="301" t="n"/>
      <c r="AQ341" s="301" t="n"/>
      <c r="AR341" s="301" t="n"/>
      <c r="AS341" s="301" t="n"/>
      <c r="AT341" s="301" t="n"/>
      <c r="AU341" s="301" t="n"/>
      <c r="AV341" s="301" t="n"/>
      <c r="AW341" s="301" t="n"/>
      <c r="AX341" s="301" t="n"/>
      <c r="AY341" s="301" t="n"/>
      <c r="AZ341" s="301" t="n"/>
      <c r="BA341" s="301" t="n"/>
      <c r="BB341" s="301" t="n"/>
      <c r="BC341" s="301" t="n"/>
      <c r="BD341" s="302" t="n"/>
      <c r="BE341" s="302" t="n"/>
      <c r="BF341" s="302" t="n"/>
      <c r="BG341" s="376" t="n"/>
      <c r="BH341" s="376" t="n"/>
    </row>
    <row r="342">
      <c r="AO342" s="301" t="n"/>
      <c r="AP342" s="301" t="n"/>
      <c r="AQ342" s="301" t="n"/>
      <c r="AR342" s="301" t="n"/>
      <c r="AS342" s="301" t="n"/>
      <c r="AT342" s="301" t="n"/>
      <c r="AU342" s="301" t="n"/>
      <c r="AV342" s="301" t="n"/>
      <c r="AW342" s="301" t="n"/>
      <c r="AX342" s="301" t="n"/>
      <c r="AY342" s="301" t="n"/>
      <c r="AZ342" s="301" t="n"/>
      <c r="BA342" s="301" t="n"/>
      <c r="BB342" s="301" t="n"/>
      <c r="BC342" s="301" t="n"/>
      <c r="BD342" s="302" t="n"/>
      <c r="BE342" s="302" t="n"/>
      <c r="BF342" s="302" t="n"/>
      <c r="BG342" s="376" t="n"/>
      <c r="BH342" s="376" t="n"/>
    </row>
    <row r="343">
      <c r="AO343" s="301" t="n"/>
      <c r="AP343" s="301" t="n"/>
      <c r="AQ343" s="301" t="n"/>
      <c r="AR343" s="301" t="n"/>
      <c r="AS343" s="301" t="n"/>
      <c r="AT343" s="301" t="n"/>
      <c r="AU343" s="301" t="n"/>
      <c r="AV343" s="301" t="n"/>
      <c r="AW343" s="301" t="n"/>
      <c r="AX343" s="301" t="n"/>
      <c r="AY343" s="301" t="n"/>
      <c r="AZ343" s="301" t="n"/>
      <c r="BA343" s="301" t="n"/>
      <c r="BB343" s="301" t="n"/>
      <c r="BC343" s="301" t="n"/>
      <c r="BD343" s="302" t="n"/>
      <c r="BE343" s="302" t="n"/>
      <c r="BF343" s="302" t="n"/>
      <c r="BG343" s="376" t="n"/>
      <c r="BH343" s="376" t="n"/>
    </row>
    <row r="344">
      <c r="AO344" s="301" t="n"/>
      <c r="AP344" s="301" t="n"/>
      <c r="AQ344" s="301" t="n"/>
      <c r="AR344" s="301" t="n"/>
      <c r="AS344" s="301" t="n"/>
      <c r="AT344" s="301" t="n"/>
      <c r="AU344" s="301" t="n"/>
      <c r="AV344" s="301" t="n"/>
      <c r="AW344" s="301" t="n"/>
      <c r="AX344" s="301" t="n"/>
      <c r="AY344" s="301" t="n"/>
      <c r="AZ344" s="301" t="n"/>
      <c r="BA344" s="301" t="n"/>
      <c r="BB344" s="301" t="n"/>
      <c r="BC344" s="301" t="n"/>
      <c r="BD344" s="302" t="n"/>
      <c r="BE344" s="302" t="n"/>
      <c r="BF344" s="302" t="n"/>
      <c r="BG344" s="376" t="n"/>
      <c r="BH344" s="376" t="n"/>
    </row>
    <row r="345">
      <c r="AO345" s="301" t="n"/>
      <c r="AP345" s="301" t="n"/>
      <c r="AQ345" s="301" t="n"/>
      <c r="AR345" s="301" t="n"/>
      <c r="AS345" s="301" t="n"/>
      <c r="AT345" s="301" t="n"/>
      <c r="AU345" s="301" t="n"/>
      <c r="AV345" s="301" t="n"/>
      <c r="AW345" s="301" t="n"/>
      <c r="AX345" s="301" t="n"/>
      <c r="AY345" s="301" t="n"/>
      <c r="AZ345" s="301" t="n"/>
      <c r="BA345" s="301" t="n"/>
      <c r="BB345" s="301" t="n"/>
      <c r="BC345" s="301" t="n"/>
      <c r="BD345" s="302" t="n"/>
      <c r="BE345" s="302" t="n"/>
      <c r="BF345" s="302" t="n"/>
      <c r="BG345" s="376" t="n"/>
      <c r="BH345" s="376" t="n"/>
    </row>
    <row r="346">
      <c r="AO346" s="301" t="n"/>
      <c r="AP346" s="301" t="n"/>
      <c r="AQ346" s="301" t="n"/>
      <c r="AR346" s="301" t="n"/>
      <c r="AS346" s="301" t="n"/>
      <c r="AT346" s="301" t="n"/>
      <c r="AU346" s="301" t="n"/>
      <c r="AV346" s="301" t="n"/>
      <c r="AW346" s="301" t="n"/>
      <c r="AX346" s="301" t="n"/>
      <c r="AY346" s="301" t="n"/>
      <c r="AZ346" s="301" t="n"/>
      <c r="BA346" s="301" t="n"/>
      <c r="BB346" s="301" t="n"/>
      <c r="BC346" s="301" t="n"/>
      <c r="BD346" s="302" t="n"/>
      <c r="BE346" s="302" t="n"/>
      <c r="BF346" s="302" t="n"/>
      <c r="BG346" s="376" t="n"/>
      <c r="BH346" s="376" t="n"/>
    </row>
    <row r="347">
      <c r="AO347" s="301" t="n"/>
      <c r="AP347" s="301" t="n"/>
      <c r="AQ347" s="301" t="n"/>
      <c r="AR347" s="301" t="n"/>
      <c r="AS347" s="301" t="n"/>
      <c r="AT347" s="301" t="n"/>
      <c r="AU347" s="301" t="n"/>
      <c r="AV347" s="301" t="n"/>
      <c r="AW347" s="301" t="n"/>
      <c r="AX347" s="301" t="n"/>
      <c r="AY347" s="301" t="n"/>
      <c r="AZ347" s="301" t="n"/>
      <c r="BA347" s="301" t="n"/>
      <c r="BB347" s="301" t="n"/>
      <c r="BC347" s="301" t="n"/>
      <c r="BD347" s="302" t="n"/>
      <c r="BE347" s="302" t="n"/>
      <c r="BF347" s="302" t="n"/>
      <c r="BG347" s="376" t="n"/>
      <c r="BH347" s="376" t="n"/>
    </row>
    <row r="348">
      <c r="AO348" s="301" t="n"/>
      <c r="AP348" s="301" t="n"/>
      <c r="AQ348" s="301" t="n"/>
      <c r="AR348" s="301" t="n"/>
      <c r="AS348" s="301" t="n"/>
      <c r="AT348" s="301" t="n"/>
      <c r="AU348" s="301" t="n"/>
      <c r="AV348" s="301" t="n"/>
      <c r="AW348" s="301" t="n"/>
      <c r="AX348" s="301" t="n"/>
      <c r="AY348" s="301" t="n"/>
      <c r="AZ348" s="301" t="n"/>
      <c r="BA348" s="301" t="n"/>
      <c r="BB348" s="301" t="n"/>
      <c r="BC348" s="301" t="n"/>
      <c r="BD348" s="301" t="n"/>
      <c r="BE348" s="301" t="n"/>
      <c r="BF348" s="301" t="n"/>
      <c r="BG348" s="376" t="n"/>
      <c r="BH348" s="376" t="n"/>
    </row>
    <row r="349">
      <c r="AO349" s="301" t="n"/>
      <c r="AP349" s="301" t="n"/>
      <c r="AQ349" s="301" t="n"/>
      <c r="AR349" s="301" t="n"/>
      <c r="AS349" s="301" t="n"/>
      <c r="AT349" s="301" t="n"/>
      <c r="AU349" s="301" t="n"/>
      <c r="AV349" s="301" t="n"/>
      <c r="AW349" s="301" t="n"/>
      <c r="AX349" s="301" t="n"/>
      <c r="AY349" s="301" t="n"/>
      <c r="AZ349" s="301" t="n"/>
      <c r="BA349" s="301" t="n"/>
      <c r="BB349" s="301" t="n"/>
      <c r="BC349" s="301" t="n"/>
      <c r="BD349" s="301" t="n"/>
      <c r="BE349" s="301" t="n"/>
      <c r="BF349" s="301" t="n"/>
      <c r="BG349" s="376" t="n"/>
      <c r="BH349" s="376" t="n"/>
    </row>
    <row r="350">
      <c r="AO350" s="301" t="n"/>
      <c r="AP350" s="301" t="n"/>
      <c r="AQ350" s="301" t="n"/>
      <c r="AR350" s="301" t="n"/>
      <c r="AS350" s="301" t="n"/>
      <c r="AT350" s="301" t="n"/>
      <c r="AU350" s="301" t="n"/>
      <c r="AV350" s="301" t="n"/>
      <c r="AW350" s="301" t="n"/>
      <c r="AX350" s="301" t="n"/>
      <c r="AY350" s="301" t="n"/>
      <c r="AZ350" s="301" t="n"/>
      <c r="BA350" s="301" t="n"/>
      <c r="BB350" s="301" t="n"/>
      <c r="BC350" s="301" t="n"/>
      <c r="BD350" s="301" t="n"/>
      <c r="BE350" s="301" t="n"/>
      <c r="BF350" s="301" t="n"/>
      <c r="BG350" s="376" t="n"/>
      <c r="BH350" s="376" t="n"/>
    </row>
    <row r="351">
      <c r="AO351" s="301" t="n"/>
      <c r="AP351" s="301" t="n"/>
      <c r="AQ351" s="301" t="n"/>
      <c r="AR351" s="301" t="n"/>
      <c r="AS351" s="301" t="n"/>
      <c r="AT351" s="301" t="n"/>
      <c r="AU351" s="301" t="n"/>
      <c r="AV351" s="301" t="n"/>
      <c r="AW351" s="301" t="n"/>
      <c r="AX351" s="301" t="n"/>
      <c r="AY351" s="301" t="n"/>
      <c r="AZ351" s="301" t="n"/>
      <c r="BA351" s="301" t="n"/>
      <c r="BB351" s="301" t="n"/>
      <c r="BC351" s="301" t="n"/>
      <c r="BD351" s="301" t="n"/>
      <c r="BE351" s="301" t="n"/>
      <c r="BF351" s="301" t="n"/>
      <c r="BG351" s="376" t="n"/>
      <c r="BH351" s="376" t="n"/>
    </row>
    <row r="352">
      <c r="AO352" s="301" t="n"/>
      <c r="AP352" s="301" t="n"/>
      <c r="AQ352" s="301" t="n"/>
      <c r="AR352" s="301" t="n"/>
      <c r="AS352" s="301" t="n"/>
      <c r="AT352" s="301" t="n"/>
      <c r="AU352" s="301" t="n"/>
      <c r="AV352" s="301" t="n"/>
      <c r="AW352" s="301" t="n"/>
      <c r="AX352" s="301" t="n"/>
      <c r="AY352" s="301" t="n"/>
      <c r="AZ352" s="301" t="n"/>
      <c r="BA352" s="301" t="n"/>
      <c r="BB352" s="301" t="n"/>
      <c r="BC352" s="301" t="n"/>
      <c r="BD352" s="301" t="n"/>
      <c r="BE352" s="301" t="n"/>
      <c r="BF352" s="301" t="n"/>
      <c r="BG352" s="376" t="n"/>
      <c r="BH352" s="376" t="n"/>
    </row>
    <row r="353">
      <c r="AO353" s="301" t="n"/>
      <c r="AP353" s="301" t="n"/>
      <c r="AQ353" s="301" t="n"/>
      <c r="AR353" s="301" t="n"/>
      <c r="AS353" s="301" t="n"/>
      <c r="AT353" s="301" t="n"/>
      <c r="AU353" s="301" t="n"/>
      <c r="AV353" s="301" t="n"/>
      <c r="AW353" s="301" t="n"/>
      <c r="AX353" s="301" t="n"/>
      <c r="AY353" s="301" t="n"/>
      <c r="AZ353" s="301" t="n"/>
      <c r="BA353" s="301" t="n"/>
      <c r="BB353" s="301" t="n"/>
      <c r="BC353" s="301" t="n"/>
      <c r="BD353" s="301" t="n"/>
      <c r="BE353" s="301" t="n"/>
      <c r="BF353" s="301" t="n"/>
      <c r="BG353" s="376" t="n"/>
      <c r="BH353" s="376" t="n"/>
    </row>
    <row r="354">
      <c r="AO354" s="301" t="n"/>
      <c r="AP354" s="301" t="n"/>
      <c r="AQ354" s="301" t="n"/>
      <c r="AR354" s="301" t="n"/>
      <c r="AS354" s="301" t="n"/>
      <c r="AT354" s="301" t="n"/>
      <c r="AU354" s="301" t="n"/>
      <c r="AV354" s="301" t="n"/>
      <c r="AW354" s="301" t="n"/>
      <c r="AX354" s="301" t="n"/>
      <c r="AY354" s="301" t="n"/>
      <c r="AZ354" s="301" t="n"/>
      <c r="BA354" s="301" t="n"/>
      <c r="BB354" s="301" t="n"/>
      <c r="BC354" s="301" t="n"/>
      <c r="BD354" s="301" t="n"/>
      <c r="BE354" s="301" t="n"/>
      <c r="BF354" s="301" t="n"/>
      <c r="BG354" s="376" t="n"/>
      <c r="BH354" s="376" t="n"/>
    </row>
    <row r="355">
      <c r="AO355" s="301" t="n"/>
      <c r="AP355" s="301" t="n"/>
      <c r="AQ355" s="301" t="n"/>
      <c r="AR355" s="301" t="n"/>
      <c r="AS355" s="301" t="n"/>
      <c r="AT355" s="301" t="n"/>
      <c r="AU355" s="301" t="n"/>
      <c r="AV355" s="301" t="n"/>
      <c r="AW355" s="301" t="n"/>
      <c r="AX355" s="301" t="n"/>
      <c r="AY355" s="301" t="n"/>
      <c r="AZ355" s="301" t="n"/>
      <c r="BA355" s="301" t="n"/>
      <c r="BB355" s="301" t="n"/>
      <c r="BC355" s="301" t="n"/>
      <c r="BD355" s="301" t="n"/>
      <c r="BE355" s="301" t="n"/>
      <c r="BF355" s="301" t="n"/>
      <c r="BG355" s="376" t="n"/>
      <c r="BH355" s="376" t="n"/>
    </row>
    <row r="356">
      <c r="AO356" s="301" t="n"/>
      <c r="AP356" s="301" t="n"/>
      <c r="AQ356" s="301" t="n"/>
      <c r="AR356" s="301" t="n"/>
      <c r="AS356" s="301" t="n"/>
      <c r="AT356" s="301" t="n"/>
      <c r="AU356" s="301" t="n"/>
      <c r="AV356" s="301" t="n"/>
      <c r="AW356" s="301" t="n"/>
      <c r="AX356" s="301" t="n"/>
      <c r="AY356" s="301" t="n"/>
      <c r="AZ356" s="301" t="n"/>
      <c r="BA356" s="301" t="n"/>
      <c r="BB356" s="301" t="n"/>
      <c r="BC356" s="301" t="n"/>
      <c r="BD356" s="301" t="n"/>
      <c r="BE356" s="301" t="n"/>
      <c r="BF356" s="301" t="n"/>
      <c r="BG356" s="376" t="n"/>
      <c r="BH356" s="376" t="n"/>
    </row>
    <row r="357">
      <c r="AO357" s="301" t="n"/>
      <c r="AP357" s="301" t="n"/>
      <c r="AQ357" s="301" t="n"/>
      <c r="AR357" s="301" t="n"/>
      <c r="AS357" s="301" t="n"/>
      <c r="AT357" s="301" t="n"/>
      <c r="AU357" s="301" t="n"/>
      <c r="AV357" s="301" t="n"/>
      <c r="AW357" s="301" t="n"/>
      <c r="AX357" s="301" t="n"/>
      <c r="AY357" s="301" t="n"/>
      <c r="AZ357" s="301" t="n"/>
      <c r="BA357" s="301" t="n"/>
      <c r="BB357" s="301" t="n"/>
      <c r="BC357" s="301" t="n"/>
      <c r="BD357" s="301" t="n"/>
      <c r="BE357" s="301" t="n"/>
      <c r="BF357" s="301" t="n"/>
      <c r="BG357" s="376" t="n"/>
      <c r="BH357" s="376" t="n"/>
    </row>
    <row r="358">
      <c r="AO358" s="301" t="n"/>
      <c r="AP358" s="301" t="n"/>
      <c r="AQ358" s="301" t="n"/>
      <c r="AR358" s="301" t="n"/>
      <c r="AS358" s="301" t="n"/>
      <c r="AT358" s="301" t="n"/>
      <c r="AU358" s="301" t="n"/>
      <c r="AV358" s="301" t="n"/>
      <c r="AW358" s="301" t="n"/>
      <c r="AX358" s="301" t="n"/>
      <c r="AY358" s="301" t="n"/>
      <c r="AZ358" s="301" t="n"/>
      <c r="BA358" s="301" t="n"/>
      <c r="BB358" s="301" t="n"/>
      <c r="BC358" s="301" t="n"/>
      <c r="BD358" s="301" t="n"/>
      <c r="BE358" s="301" t="n"/>
      <c r="BF358" s="301" t="n"/>
      <c r="BG358" s="376" t="n"/>
      <c r="BH358" s="376" t="n"/>
    </row>
    <row r="359">
      <c r="AO359" s="301" t="n"/>
      <c r="AP359" s="301" t="n"/>
      <c r="AQ359" s="301" t="n"/>
      <c r="AR359" s="301" t="n"/>
      <c r="AS359" s="301" t="n"/>
      <c r="AT359" s="301" t="n"/>
      <c r="AU359" s="301" t="n"/>
      <c r="AV359" s="301" t="n"/>
      <c r="AW359" s="301" t="n"/>
      <c r="AX359" s="301" t="n"/>
      <c r="AY359" s="301" t="n"/>
      <c r="AZ359" s="301" t="n"/>
      <c r="BA359" s="301" t="n"/>
      <c r="BB359" s="301" t="n"/>
      <c r="BC359" s="301" t="n"/>
      <c r="BD359" s="301" t="n"/>
      <c r="BE359" s="301" t="n"/>
      <c r="BF359" s="301" t="n"/>
      <c r="BG359" s="376" t="n"/>
      <c r="BH359" s="376" t="n"/>
    </row>
    <row r="360">
      <c r="AO360" s="301" t="n"/>
      <c r="AP360" s="301" t="n"/>
      <c r="AQ360" s="301" t="n"/>
      <c r="AR360" s="301" t="n"/>
      <c r="AS360" s="301" t="n"/>
      <c r="AT360" s="301" t="n"/>
      <c r="AU360" s="301" t="n"/>
      <c r="AV360" s="301" t="n"/>
      <c r="AW360" s="301" t="n"/>
      <c r="AX360" s="301" t="n"/>
      <c r="AY360" s="301" t="n"/>
      <c r="AZ360" s="301" t="n"/>
      <c r="BA360" s="301" t="n"/>
      <c r="BB360" s="301" t="n"/>
      <c r="BC360" s="301" t="n"/>
      <c r="BD360" s="301" t="n"/>
      <c r="BE360" s="301" t="n"/>
      <c r="BF360" s="301" t="n"/>
      <c r="BG360" s="376" t="n"/>
      <c r="BH360" s="376" t="n"/>
    </row>
    <row r="361">
      <c r="AO361" s="301" t="n"/>
      <c r="AP361" s="301" t="n"/>
      <c r="AQ361" s="301" t="n"/>
      <c r="AR361" s="301" t="n"/>
      <c r="AS361" s="301" t="n"/>
      <c r="AT361" s="301" t="n"/>
      <c r="AU361" s="301" t="n"/>
      <c r="AV361" s="301" t="n"/>
      <c r="AW361" s="301" t="n"/>
      <c r="AX361" s="301" t="n"/>
      <c r="AY361" s="301" t="n"/>
      <c r="AZ361" s="301" t="n"/>
      <c r="BA361" s="301" t="n"/>
      <c r="BB361" s="301" t="n"/>
      <c r="BC361" s="301" t="n"/>
      <c r="BD361" s="301" t="n"/>
      <c r="BE361" s="301" t="n"/>
      <c r="BF361" s="301" t="n"/>
      <c r="BG361" s="376" t="n"/>
      <c r="BH361" s="376" t="n"/>
    </row>
    <row r="362">
      <c r="AO362" s="301" t="n"/>
      <c r="AP362" s="301" t="n"/>
      <c r="AQ362" s="301" t="n"/>
      <c r="AR362" s="301" t="n"/>
      <c r="AS362" s="301" t="n"/>
      <c r="AT362" s="301" t="n"/>
      <c r="AU362" s="301" t="n"/>
      <c r="AV362" s="301" t="n"/>
      <c r="AW362" s="301" t="n"/>
      <c r="AX362" s="301" t="n"/>
      <c r="AY362" s="301" t="n"/>
      <c r="AZ362" s="301" t="n"/>
      <c r="BA362" s="301" t="n"/>
      <c r="BB362" s="301" t="n"/>
      <c r="BC362" s="301" t="n"/>
      <c r="BD362" s="301" t="n"/>
      <c r="BE362" s="301" t="n"/>
      <c r="BF362" s="301" t="n"/>
      <c r="BG362" s="376" t="n"/>
      <c r="BH362" s="376" t="n"/>
    </row>
    <row r="363">
      <c r="AO363" s="301" t="n"/>
      <c r="AP363" s="301" t="n"/>
      <c r="AQ363" s="301" t="n"/>
      <c r="AR363" s="301" t="n"/>
      <c r="AS363" s="301" t="n"/>
      <c r="AT363" s="301" t="n"/>
      <c r="AU363" s="301" t="n"/>
      <c r="AV363" s="301" t="n"/>
      <c r="AW363" s="301" t="n"/>
      <c r="AX363" s="301" t="n"/>
      <c r="AY363" s="301" t="n"/>
      <c r="AZ363" s="301" t="n"/>
      <c r="BA363" s="301" t="n"/>
      <c r="BB363" s="301" t="n"/>
      <c r="BC363" s="301" t="n"/>
      <c r="BD363" s="301" t="n"/>
      <c r="BE363" s="301" t="n"/>
      <c r="BF363" s="301" t="n"/>
      <c r="BG363" s="376" t="n"/>
      <c r="BH363" s="376" t="n"/>
    </row>
    <row r="364">
      <c r="AO364" s="301" t="n"/>
      <c r="AP364" s="301" t="n"/>
      <c r="AQ364" s="301" t="n"/>
      <c r="AR364" s="301" t="n"/>
      <c r="AS364" s="301" t="n"/>
      <c r="AT364" s="301" t="n"/>
      <c r="AU364" s="301" t="n"/>
      <c r="AV364" s="301" t="n"/>
      <c r="AW364" s="301" t="n"/>
      <c r="AX364" s="301" t="n"/>
      <c r="AY364" s="301" t="n"/>
      <c r="AZ364" s="301" t="n"/>
      <c r="BA364" s="301" t="n"/>
      <c r="BB364" s="301" t="n"/>
      <c r="BC364" s="301" t="n"/>
      <c r="BD364" s="301" t="n"/>
      <c r="BE364" s="301" t="n"/>
      <c r="BF364" s="301" t="n"/>
      <c r="BG364" s="376" t="n"/>
      <c r="BH364" s="376" t="n"/>
    </row>
    <row r="365">
      <c r="AO365" s="301" t="n"/>
      <c r="AP365" s="301" t="n"/>
      <c r="AQ365" s="301" t="n"/>
      <c r="AR365" s="301" t="n"/>
      <c r="AS365" s="301" t="n"/>
      <c r="AT365" s="301" t="n"/>
      <c r="AU365" s="301" t="n"/>
      <c r="AV365" s="301" t="n"/>
      <c r="AW365" s="301" t="n"/>
      <c r="AX365" s="301" t="n"/>
      <c r="AY365" s="301" t="n"/>
      <c r="AZ365" s="301" t="n"/>
      <c r="BA365" s="301" t="n"/>
      <c r="BB365" s="301" t="n"/>
      <c r="BC365" s="301" t="n"/>
      <c r="BD365" s="301" t="n"/>
      <c r="BE365" s="301" t="n"/>
      <c r="BF365" s="301" t="n"/>
      <c r="BG365" s="376" t="n"/>
      <c r="BH365" s="376" t="n"/>
    </row>
    <row r="366">
      <c r="AO366" s="301" t="n"/>
      <c r="AP366" s="301" t="n"/>
      <c r="AQ366" s="301" t="n"/>
      <c r="AR366" s="301" t="n"/>
      <c r="AS366" s="301" t="n"/>
      <c r="AT366" s="301" t="n"/>
      <c r="AU366" s="301" t="n"/>
      <c r="AV366" s="301" t="n"/>
      <c r="AW366" s="301" t="n"/>
      <c r="AX366" s="301" t="n"/>
      <c r="AY366" s="301" t="n"/>
      <c r="AZ366" s="301" t="n"/>
      <c r="BA366" s="301" t="n"/>
      <c r="BB366" s="301" t="n"/>
      <c r="BC366" s="301" t="n"/>
      <c r="BD366" s="301" t="n"/>
      <c r="BE366" s="301" t="n"/>
      <c r="BF366" s="301" t="n"/>
      <c r="BG366" s="376" t="n"/>
      <c r="BH366" s="376" t="n"/>
    </row>
    <row r="367">
      <c r="AO367" s="301" t="n"/>
      <c r="AP367" s="301" t="n"/>
      <c r="AQ367" s="301" t="n"/>
      <c r="AR367" s="301" t="n"/>
      <c r="AS367" s="301" t="n"/>
      <c r="AT367" s="301" t="n"/>
      <c r="AU367" s="301" t="n"/>
      <c r="AV367" s="301" t="n"/>
      <c r="AW367" s="301" t="n"/>
      <c r="AX367" s="301" t="n"/>
      <c r="AY367" s="301" t="n"/>
      <c r="AZ367" s="301" t="n"/>
      <c r="BA367" s="301" t="n"/>
      <c r="BB367" s="301" t="n"/>
      <c r="BC367" s="301" t="n"/>
      <c r="BD367" s="301" t="n"/>
      <c r="BE367" s="301" t="n"/>
      <c r="BF367" s="301" t="n"/>
      <c r="BG367" s="376" t="n"/>
      <c r="BH367" s="376" t="n"/>
    </row>
    <row r="368">
      <c r="AO368" s="301" t="n"/>
      <c r="AP368" s="301" t="n"/>
      <c r="AQ368" s="301" t="n"/>
      <c r="AR368" s="301" t="n"/>
      <c r="AS368" s="301" t="n"/>
      <c r="AT368" s="301" t="n"/>
      <c r="AU368" s="301" t="n"/>
      <c r="AV368" s="301" t="n"/>
      <c r="AW368" s="301" t="n"/>
      <c r="AX368" s="301" t="n"/>
      <c r="AY368" s="301" t="n"/>
      <c r="AZ368" s="301" t="n"/>
      <c r="BA368" s="301" t="n"/>
      <c r="BB368" s="301" t="n"/>
      <c r="BC368" s="301" t="n"/>
      <c r="BD368" s="301" t="n"/>
      <c r="BE368" s="301" t="n"/>
      <c r="BF368" s="301" t="n"/>
      <c r="BG368" s="376" t="n"/>
      <c r="BH368" s="376" t="n"/>
    </row>
    <row r="369">
      <c r="AO369" s="301" t="n"/>
      <c r="AP369" s="301" t="n"/>
      <c r="AQ369" s="301" t="n"/>
      <c r="AR369" s="301" t="n"/>
      <c r="AS369" s="301" t="n"/>
      <c r="AT369" s="301" t="n"/>
      <c r="AU369" s="301" t="n"/>
      <c r="AV369" s="301" t="n"/>
      <c r="AW369" s="301" t="n"/>
      <c r="AX369" s="301" t="n"/>
      <c r="AY369" s="301" t="n"/>
      <c r="AZ369" s="301" t="n"/>
      <c r="BA369" s="301" t="n"/>
      <c r="BB369" s="301" t="n"/>
      <c r="BC369" s="301" t="n"/>
      <c r="BD369" s="301" t="n"/>
      <c r="BE369" s="301" t="n"/>
      <c r="BF369" s="301" t="n"/>
      <c r="BG369" s="376" t="n"/>
      <c r="BH369" s="376" t="n"/>
    </row>
    <row r="370">
      <c r="AO370" s="301" t="n"/>
      <c r="AP370" s="301" t="n"/>
      <c r="AQ370" s="301" t="n"/>
      <c r="AR370" s="301" t="n"/>
      <c r="AS370" s="301" t="n"/>
      <c r="AT370" s="301" t="n"/>
      <c r="AU370" s="301" t="n"/>
      <c r="AV370" s="301" t="n"/>
      <c r="AW370" s="301" t="n"/>
      <c r="AX370" s="301" t="n"/>
      <c r="AY370" s="301" t="n"/>
      <c r="AZ370" s="301" t="n"/>
      <c r="BA370" s="301" t="n"/>
      <c r="BB370" s="301" t="n"/>
      <c r="BC370" s="301" t="n"/>
      <c r="BD370" s="301" t="n"/>
      <c r="BE370" s="301" t="n"/>
      <c r="BF370" s="301" t="n"/>
      <c r="BG370" s="376" t="n"/>
      <c r="BH370" s="376" t="n"/>
    </row>
    <row r="371">
      <c r="AO371" s="301" t="n"/>
      <c r="AP371" s="301" t="n"/>
      <c r="AQ371" s="301" t="n"/>
      <c r="AR371" s="301" t="n"/>
      <c r="AS371" s="301" t="n"/>
      <c r="AT371" s="301" t="n"/>
      <c r="AU371" s="301" t="n"/>
      <c r="AV371" s="301" t="n"/>
      <c r="AW371" s="301" t="n"/>
      <c r="AX371" s="301" t="n"/>
      <c r="AY371" s="301" t="n"/>
      <c r="AZ371" s="301" t="n"/>
      <c r="BA371" s="301" t="n"/>
      <c r="BB371" s="301" t="n"/>
      <c r="BC371" s="301" t="n"/>
      <c r="BD371" s="301" t="n"/>
      <c r="BE371" s="301" t="n"/>
      <c r="BF371" s="301" t="n"/>
      <c r="BG371" s="376" t="n"/>
      <c r="BH371" s="376" t="n"/>
    </row>
    <row r="372">
      <c r="AO372" s="301" t="n"/>
      <c r="AP372" s="301" t="n"/>
      <c r="AQ372" s="301" t="n"/>
      <c r="AR372" s="301" t="n"/>
      <c r="AS372" s="301" t="n"/>
      <c r="AT372" s="301" t="n"/>
      <c r="AU372" s="301" t="n"/>
      <c r="AV372" s="301" t="n"/>
      <c r="AW372" s="301" t="n"/>
      <c r="AX372" s="301" t="n"/>
      <c r="AY372" s="301" t="n"/>
      <c r="AZ372" s="301" t="n"/>
      <c r="BA372" s="301" t="n"/>
      <c r="BB372" s="301" t="n"/>
      <c r="BC372" s="301" t="n"/>
      <c r="BD372" s="301" t="n"/>
      <c r="BE372" s="301" t="n"/>
      <c r="BF372" s="301" t="n"/>
      <c r="BG372" s="376" t="n"/>
      <c r="BH372" s="376" t="n"/>
    </row>
    <row r="373">
      <c r="AO373" s="301" t="n"/>
      <c r="AP373" s="301" t="n"/>
      <c r="AQ373" s="301" t="n"/>
      <c r="AR373" s="301" t="n"/>
      <c r="AS373" s="301" t="n"/>
      <c r="AT373" s="301" t="n"/>
      <c r="AU373" s="301" t="n"/>
      <c r="AV373" s="301" t="n"/>
      <c r="AW373" s="301" t="n"/>
      <c r="AX373" s="301" t="n"/>
      <c r="AY373" s="301" t="n"/>
      <c r="AZ373" s="301" t="n"/>
      <c r="BA373" s="301" t="n"/>
      <c r="BB373" s="301" t="n"/>
      <c r="BC373" s="301" t="n"/>
      <c r="BD373" s="301" t="n"/>
      <c r="BE373" s="301" t="n"/>
      <c r="BF373" s="301" t="n"/>
      <c r="BG373" s="376" t="n"/>
      <c r="BH373" s="376" t="n"/>
    </row>
    <row r="374">
      <c r="AO374" s="301" t="n"/>
      <c r="AP374" s="301" t="n"/>
      <c r="AQ374" s="301" t="n"/>
      <c r="AR374" s="301" t="n"/>
      <c r="AS374" s="301" t="n"/>
      <c r="AT374" s="301" t="n"/>
      <c r="AU374" s="301" t="n"/>
      <c r="AV374" s="301" t="n"/>
      <c r="AW374" s="301" t="n"/>
      <c r="AX374" s="301" t="n"/>
      <c r="AY374" s="301" t="n"/>
      <c r="AZ374" s="301" t="n"/>
      <c r="BA374" s="301" t="n"/>
      <c r="BB374" s="301" t="n"/>
      <c r="BC374" s="301" t="n"/>
      <c r="BD374" s="301" t="n"/>
      <c r="BE374" s="301" t="n"/>
      <c r="BF374" s="301" t="n"/>
      <c r="BG374" s="376" t="n"/>
      <c r="BH374" s="376" t="n"/>
    </row>
    <row r="375">
      <c r="AO375" s="301" t="n"/>
      <c r="AP375" s="301" t="n"/>
      <c r="AQ375" s="301" t="n"/>
      <c r="AR375" s="301" t="n"/>
      <c r="AS375" s="301" t="n"/>
      <c r="AT375" s="301" t="n"/>
      <c r="AU375" s="301" t="n"/>
      <c r="AV375" s="301" t="n"/>
      <c r="AW375" s="301" t="n"/>
      <c r="AX375" s="301" t="n"/>
      <c r="AY375" s="301" t="n"/>
      <c r="AZ375" s="301" t="n"/>
      <c r="BA375" s="301" t="n"/>
      <c r="BB375" s="301" t="n"/>
      <c r="BC375" s="301" t="n"/>
      <c r="BD375" s="301" t="n"/>
      <c r="BE375" s="301" t="n"/>
      <c r="BF375" s="301" t="n"/>
      <c r="BG375" s="376" t="n"/>
      <c r="BH375" s="376" t="n"/>
    </row>
    <row r="376">
      <c r="AO376" s="301" t="n"/>
      <c r="AP376" s="301" t="n"/>
      <c r="AQ376" s="301" t="n"/>
      <c r="AR376" s="301" t="n"/>
      <c r="AS376" s="301" t="n"/>
      <c r="AT376" s="301" t="n"/>
      <c r="AU376" s="301" t="n"/>
      <c r="AV376" s="301" t="n"/>
      <c r="AW376" s="301" t="n"/>
      <c r="AX376" s="301" t="n"/>
      <c r="AY376" s="301" t="n"/>
      <c r="AZ376" s="301" t="n"/>
      <c r="BA376" s="301" t="n"/>
      <c r="BB376" s="301" t="n"/>
      <c r="BC376" s="301" t="n"/>
      <c r="BD376" s="301" t="n"/>
      <c r="BE376" s="301" t="n"/>
      <c r="BF376" s="301" t="n"/>
      <c r="BG376" s="376" t="n"/>
      <c r="BH376" s="376" t="n"/>
    </row>
    <row r="377">
      <c r="AO377" s="301" t="n"/>
      <c r="AP377" s="301" t="n"/>
      <c r="AQ377" s="301" t="n"/>
      <c r="AR377" s="301" t="n"/>
      <c r="AS377" s="301" t="n"/>
      <c r="AT377" s="301" t="n"/>
      <c r="AU377" s="301" t="n"/>
      <c r="AV377" s="301" t="n"/>
      <c r="AW377" s="301" t="n"/>
      <c r="AX377" s="301" t="n"/>
      <c r="AY377" s="301" t="n"/>
      <c r="AZ377" s="301" t="n"/>
      <c r="BA377" s="301" t="n"/>
      <c r="BB377" s="301" t="n"/>
      <c r="BC377" s="301" t="n"/>
      <c r="BD377" s="301" t="n"/>
      <c r="BE377" s="301" t="n"/>
      <c r="BF377" s="301" t="n"/>
      <c r="BG377" s="376" t="n"/>
      <c r="BH377" s="376" t="n"/>
    </row>
    <row r="378">
      <c r="AO378" s="301" t="n"/>
      <c r="AP378" s="301" t="n"/>
      <c r="AQ378" s="301" t="n"/>
      <c r="AR378" s="301" t="n"/>
      <c r="AS378" s="301" t="n"/>
      <c r="AT378" s="301" t="n"/>
      <c r="AU378" s="301" t="n"/>
      <c r="AV378" s="301" t="n"/>
      <c r="AW378" s="301" t="n"/>
      <c r="AX378" s="301" t="n"/>
      <c r="AY378" s="301" t="n"/>
      <c r="AZ378" s="301" t="n"/>
      <c r="BA378" s="301" t="n"/>
      <c r="BB378" s="301" t="n"/>
      <c r="BC378" s="301" t="n"/>
      <c r="BD378" s="301" t="n"/>
      <c r="BE378" s="301" t="n"/>
      <c r="BF378" s="301" t="n"/>
      <c r="BG378" s="376" t="n"/>
      <c r="BH378" s="376" t="n"/>
    </row>
    <row r="379">
      <c r="AO379" s="301" t="n"/>
      <c r="AP379" s="301" t="n"/>
      <c r="AQ379" s="301" t="n"/>
      <c r="AR379" s="301" t="n"/>
      <c r="AS379" s="301" t="n"/>
      <c r="AT379" s="301" t="n"/>
      <c r="AU379" s="301" t="n"/>
      <c r="AV379" s="301" t="n"/>
      <c r="AW379" s="301" t="n"/>
      <c r="AX379" s="301" t="n"/>
      <c r="AY379" s="301" t="n"/>
      <c r="AZ379" s="301" t="n"/>
      <c r="BA379" s="301" t="n"/>
      <c r="BB379" s="301" t="n"/>
      <c r="BC379" s="301" t="n"/>
      <c r="BD379" s="301" t="n"/>
      <c r="BE379" s="301" t="n"/>
      <c r="BF379" s="301" t="n"/>
      <c r="BG379" s="376" t="n"/>
      <c r="BH379" s="376" t="n"/>
    </row>
    <row r="380">
      <c r="AO380" s="301" t="n"/>
      <c r="AP380" s="301" t="n"/>
      <c r="AQ380" s="301" t="n"/>
      <c r="AR380" s="301" t="n"/>
      <c r="AS380" s="301" t="n"/>
      <c r="AT380" s="301" t="n"/>
      <c r="AU380" s="301" t="n"/>
      <c r="AV380" s="301" t="n"/>
      <c r="AW380" s="301" t="n"/>
      <c r="AX380" s="301" t="n"/>
      <c r="AY380" s="301" t="n"/>
      <c r="AZ380" s="301" t="n"/>
      <c r="BA380" s="301" t="n"/>
      <c r="BB380" s="301" t="n"/>
      <c r="BC380" s="301" t="n"/>
      <c r="BD380" s="301" t="n"/>
      <c r="BE380" s="301" t="n"/>
      <c r="BF380" s="301" t="n"/>
      <c r="BG380" s="376" t="n"/>
      <c r="BH380" s="376" t="n"/>
    </row>
    <row r="381">
      <c r="AO381" s="301" t="n"/>
      <c r="AP381" s="301" t="n"/>
      <c r="AQ381" s="301" t="n"/>
      <c r="AR381" s="301" t="n"/>
      <c r="AS381" s="301" t="n"/>
      <c r="AT381" s="301" t="n"/>
      <c r="AU381" s="301" t="n"/>
      <c r="AV381" s="301" t="n"/>
      <c r="AW381" s="301" t="n"/>
      <c r="AX381" s="301" t="n"/>
      <c r="AY381" s="301" t="n"/>
      <c r="AZ381" s="301" t="n"/>
      <c r="BA381" s="301" t="n"/>
      <c r="BB381" s="301" t="n"/>
      <c r="BC381" s="301" t="n"/>
      <c r="BD381" s="301" t="n"/>
      <c r="BE381" s="301" t="n"/>
      <c r="BF381" s="301" t="n"/>
      <c r="BG381" s="376" t="n"/>
      <c r="BH381" s="376" t="n"/>
    </row>
    <row r="382">
      <c r="AO382" s="301" t="n"/>
      <c r="AP382" s="301" t="n"/>
      <c r="AQ382" s="301" t="n"/>
      <c r="AR382" s="301" t="n"/>
      <c r="AS382" s="301" t="n"/>
      <c r="AT382" s="301" t="n"/>
      <c r="AU382" s="301" t="n"/>
      <c r="AV382" s="301" t="n"/>
      <c r="AW382" s="301" t="n"/>
      <c r="AX382" s="301" t="n"/>
      <c r="AY382" s="301" t="n"/>
      <c r="AZ382" s="301" t="n"/>
      <c r="BA382" s="301" t="n"/>
      <c r="BB382" s="301" t="n"/>
      <c r="BC382" s="301" t="n"/>
      <c r="BD382" s="301" t="n"/>
      <c r="BE382" s="301" t="n"/>
      <c r="BF382" s="301" t="n"/>
      <c r="BG382" s="376" t="n"/>
      <c r="BH382" s="376" t="n"/>
    </row>
    <row r="383">
      <c r="AO383" s="301" t="n"/>
      <c r="AP383" s="301" t="n"/>
      <c r="AQ383" s="301" t="n"/>
      <c r="AR383" s="301" t="n"/>
      <c r="AS383" s="301" t="n"/>
      <c r="AT383" s="301" t="n"/>
      <c r="AU383" s="301" t="n"/>
      <c r="AV383" s="301" t="n"/>
      <c r="AW383" s="301" t="n"/>
      <c r="AX383" s="301" t="n"/>
      <c r="AY383" s="301" t="n"/>
      <c r="AZ383" s="301" t="n"/>
      <c r="BA383" s="301" t="n"/>
      <c r="BB383" s="301" t="n"/>
      <c r="BC383" s="301" t="n"/>
      <c r="BD383" s="301" t="n"/>
      <c r="BE383" s="301" t="n"/>
      <c r="BF383" s="301" t="n"/>
      <c r="BG383" s="376" t="n"/>
      <c r="BH383" s="376" t="n"/>
    </row>
    <row r="384">
      <c r="AO384" s="301" t="n"/>
      <c r="AP384" s="301" t="n"/>
      <c r="AQ384" s="301" t="n"/>
      <c r="AR384" s="301" t="n"/>
      <c r="AS384" s="301" t="n"/>
      <c r="AT384" s="301" t="n"/>
      <c r="AU384" s="301" t="n"/>
      <c r="AV384" s="301" t="n"/>
      <c r="AW384" s="301" t="n"/>
      <c r="AX384" s="301" t="n"/>
      <c r="AY384" s="301" t="n"/>
      <c r="AZ384" s="301" t="n"/>
      <c r="BA384" s="301" t="n"/>
      <c r="BB384" s="301" t="n"/>
      <c r="BC384" s="301" t="n"/>
      <c r="BD384" s="301" t="n"/>
      <c r="BE384" s="301" t="n"/>
      <c r="BF384" s="301" t="n"/>
      <c r="BG384" s="376" t="n"/>
      <c r="BH384" s="376" t="n"/>
    </row>
    <row r="385">
      <c r="AO385" s="301" t="n"/>
      <c r="AP385" s="301" t="n"/>
      <c r="AQ385" s="301" t="n"/>
      <c r="AR385" s="301" t="n"/>
      <c r="AS385" s="301" t="n"/>
      <c r="AT385" s="301" t="n"/>
      <c r="AU385" s="301" t="n"/>
      <c r="AV385" s="301" t="n"/>
      <c r="AW385" s="301" t="n"/>
      <c r="AX385" s="301" t="n"/>
      <c r="AY385" s="301" t="n"/>
      <c r="AZ385" s="301" t="n"/>
      <c r="BA385" s="301" t="n"/>
      <c r="BB385" s="301" t="n"/>
      <c r="BC385" s="301" t="n"/>
      <c r="BD385" s="301" t="n"/>
      <c r="BE385" s="301" t="n"/>
      <c r="BF385" s="301" t="n"/>
      <c r="BG385" s="376" t="n"/>
      <c r="BH385" s="376" t="n"/>
    </row>
    <row r="386">
      <c r="AO386" s="301" t="n"/>
      <c r="AP386" s="301" t="n"/>
      <c r="AQ386" s="301" t="n"/>
      <c r="AR386" s="301" t="n"/>
      <c r="AS386" s="301" t="n"/>
      <c r="AT386" s="301" t="n"/>
      <c r="AU386" s="301" t="n"/>
      <c r="AV386" s="301" t="n"/>
      <c r="AW386" s="301" t="n"/>
      <c r="AX386" s="301" t="n"/>
      <c r="AY386" s="301" t="n"/>
      <c r="AZ386" s="301" t="n"/>
      <c r="BA386" s="301" t="n"/>
      <c r="BB386" s="301" t="n"/>
      <c r="BC386" s="301" t="n"/>
      <c r="BD386" s="301" t="n"/>
      <c r="BE386" s="301" t="n"/>
      <c r="BF386" s="301" t="n"/>
      <c r="BG386" s="376" t="n"/>
      <c r="BH386" s="376" t="n"/>
    </row>
    <row r="387">
      <c r="AO387" s="301" t="n"/>
      <c r="AP387" s="301" t="n"/>
      <c r="AQ387" s="301" t="n"/>
      <c r="AR387" s="301" t="n"/>
      <c r="AS387" s="301" t="n"/>
      <c r="AT387" s="301" t="n"/>
      <c r="AU387" s="301" t="n"/>
      <c r="AV387" s="301" t="n"/>
      <c r="AW387" s="301" t="n"/>
      <c r="AX387" s="301" t="n"/>
      <c r="AY387" s="301" t="n"/>
      <c r="AZ387" s="301" t="n"/>
      <c r="BA387" s="301" t="n"/>
      <c r="BB387" s="301" t="n"/>
      <c r="BC387" s="301" t="n"/>
      <c r="BD387" s="301" t="n"/>
      <c r="BE387" s="301" t="n"/>
      <c r="BF387" s="301" t="n"/>
      <c r="BG387" s="376" t="n"/>
      <c r="BH387" s="376" t="n"/>
    </row>
    <row r="388">
      <c r="AO388" s="301" t="n"/>
      <c r="AP388" s="301" t="n"/>
      <c r="AQ388" s="301" t="n"/>
      <c r="AR388" s="301" t="n"/>
      <c r="AS388" s="301" t="n"/>
      <c r="AT388" s="301" t="n"/>
      <c r="AU388" s="301" t="n"/>
      <c r="AV388" s="301" t="n"/>
      <c r="AW388" s="301" t="n"/>
      <c r="AX388" s="301" t="n"/>
      <c r="AY388" s="301" t="n"/>
      <c r="AZ388" s="301" t="n"/>
      <c r="BA388" s="301" t="n"/>
      <c r="BB388" s="301" t="n"/>
      <c r="BC388" s="301" t="n"/>
      <c r="BD388" s="301" t="n"/>
      <c r="BE388" s="301" t="n"/>
      <c r="BF388" s="301" t="n"/>
      <c r="BG388" s="376" t="n"/>
      <c r="BH388" s="376" t="n"/>
    </row>
    <row r="389">
      <c r="AO389" s="301" t="n"/>
      <c r="AP389" s="301" t="n"/>
      <c r="AQ389" s="301" t="n"/>
      <c r="AR389" s="301" t="n"/>
      <c r="AS389" s="301" t="n"/>
      <c r="AT389" s="301" t="n"/>
      <c r="AU389" s="301" t="n"/>
      <c r="AV389" s="301" t="n"/>
      <c r="AW389" s="301" t="n"/>
      <c r="AX389" s="301" t="n"/>
      <c r="AY389" s="301" t="n"/>
      <c r="AZ389" s="301" t="n"/>
      <c r="BA389" s="301" t="n"/>
      <c r="BB389" s="301" t="n"/>
      <c r="BC389" s="301" t="n"/>
      <c r="BD389" s="301" t="n"/>
      <c r="BE389" s="301" t="n"/>
      <c r="BF389" s="301" t="n"/>
      <c r="BG389" s="376" t="n"/>
      <c r="BH389" s="376" t="n"/>
    </row>
    <row r="390">
      <c r="AO390" s="301" t="n"/>
      <c r="AP390" s="301" t="n"/>
      <c r="AQ390" s="301" t="n"/>
      <c r="AR390" s="301" t="n"/>
      <c r="AS390" s="301" t="n"/>
      <c r="AT390" s="301" t="n"/>
      <c r="AU390" s="301" t="n"/>
      <c r="AV390" s="301" t="n"/>
      <c r="AW390" s="301" t="n"/>
      <c r="AX390" s="301" t="n"/>
      <c r="AY390" s="301" t="n"/>
      <c r="AZ390" s="301" t="n"/>
      <c r="BA390" s="301" t="n"/>
      <c r="BB390" s="301" t="n"/>
      <c r="BC390" s="301" t="n"/>
      <c r="BD390" s="301" t="n"/>
      <c r="BE390" s="301" t="n"/>
      <c r="BF390" s="301" t="n"/>
      <c r="BG390" s="376" t="n"/>
      <c r="BH390" s="376" t="n"/>
    </row>
    <row r="391">
      <c r="AO391" s="301" t="n"/>
      <c r="AP391" s="301" t="n"/>
      <c r="AQ391" s="301" t="n"/>
      <c r="AR391" s="301" t="n"/>
      <c r="AS391" s="301" t="n"/>
      <c r="AT391" s="301" t="n"/>
      <c r="AU391" s="301" t="n"/>
      <c r="AV391" s="301" t="n"/>
      <c r="AW391" s="301" t="n"/>
      <c r="AX391" s="301" t="n"/>
      <c r="AY391" s="301" t="n"/>
      <c r="AZ391" s="301" t="n"/>
      <c r="BA391" s="301" t="n"/>
      <c r="BB391" s="301" t="n"/>
      <c r="BC391" s="301" t="n"/>
      <c r="BD391" s="301" t="n"/>
      <c r="BE391" s="301" t="n"/>
      <c r="BF391" s="301" t="n"/>
      <c r="BG391" s="376" t="n"/>
      <c r="BH391" s="376" t="n"/>
    </row>
    <row r="392">
      <c r="AO392" s="301" t="n"/>
      <c r="AP392" s="301" t="n"/>
      <c r="AQ392" s="301" t="n"/>
      <c r="AR392" s="301" t="n"/>
      <c r="AS392" s="301" t="n"/>
      <c r="AT392" s="301" t="n"/>
      <c r="AU392" s="301" t="n"/>
      <c r="AV392" s="301" t="n"/>
      <c r="AW392" s="301" t="n"/>
      <c r="AX392" s="301" t="n"/>
      <c r="AY392" s="301" t="n"/>
      <c r="AZ392" s="301" t="n"/>
      <c r="BA392" s="301" t="n"/>
      <c r="BB392" s="301" t="n"/>
      <c r="BC392" s="301" t="n"/>
      <c r="BD392" s="301" t="n"/>
      <c r="BE392" s="301" t="n"/>
      <c r="BF392" s="301" t="n"/>
      <c r="BG392" s="376" t="n"/>
      <c r="BH392" s="376" t="n"/>
    </row>
    <row r="393">
      <c r="AO393" s="376" t="n"/>
      <c r="AP393" s="376" t="n"/>
      <c r="AQ393" s="376" t="n"/>
      <c r="AR393" s="376" t="n"/>
      <c r="AS393" s="376" t="n"/>
      <c r="AT393" s="376" t="n"/>
      <c r="AU393" s="376" t="n"/>
      <c r="AV393" s="376" t="n"/>
      <c r="AW393" s="376" t="n"/>
      <c r="AX393" s="376" t="n"/>
      <c r="AY393" s="376" t="n"/>
      <c r="AZ393" s="376" t="n"/>
      <c r="BA393" s="376" t="n"/>
      <c r="BB393" s="376" t="n"/>
      <c r="BC393" s="376" t="n"/>
      <c r="BD393" s="376" t="n"/>
      <c r="BE393" s="376" t="n"/>
      <c r="BF393" s="376" t="n"/>
      <c r="BG393" s="376" t="n"/>
      <c r="BH393" s="376" t="n"/>
    </row>
    <row r="394">
      <c r="AO394" s="376" t="n"/>
      <c r="AP394" s="376" t="n"/>
      <c r="AQ394" s="376" t="n"/>
      <c r="AR394" s="376" t="n"/>
      <c r="AS394" s="376" t="n"/>
      <c r="AT394" s="376" t="n"/>
      <c r="AU394" s="376" t="n"/>
      <c r="AV394" s="376" t="n"/>
      <c r="AW394" s="376" t="n"/>
      <c r="AX394" s="376" t="n"/>
      <c r="AY394" s="376" t="n"/>
      <c r="AZ394" s="376" t="n"/>
      <c r="BA394" s="376" t="n"/>
      <c r="BB394" s="376" t="n"/>
      <c r="BC394" s="376" t="n"/>
      <c r="BD394" s="376" t="n"/>
      <c r="BE394" s="376" t="n"/>
      <c r="BF394" s="376" t="n"/>
      <c r="BG394" s="376" t="n"/>
      <c r="BH394" s="376" t="n"/>
    </row>
    <row r="395">
      <c r="AO395" s="376" t="n"/>
      <c r="AP395" s="376" t="n"/>
      <c r="AQ395" s="376" t="n"/>
      <c r="AR395" s="376" t="n"/>
      <c r="AS395" s="376" t="n"/>
      <c r="AT395" s="376" t="n"/>
      <c r="AU395" s="376" t="n"/>
      <c r="AV395" s="376" t="n"/>
      <c r="AW395" s="376" t="n"/>
      <c r="AX395" s="376" t="n"/>
      <c r="AY395" s="376" t="n"/>
      <c r="AZ395" s="376" t="n"/>
      <c r="BA395" s="376" t="n"/>
      <c r="BB395" s="376" t="n"/>
      <c r="BC395" s="376" t="n"/>
      <c r="BD395" s="376" t="n"/>
      <c r="BE395" s="376" t="n"/>
      <c r="BF395" s="376" t="n"/>
      <c r="BG395" s="376" t="n"/>
      <c r="BH395" s="376" t="n"/>
    </row>
    <row r="396">
      <c r="AO396" s="376" t="n"/>
      <c r="AP396" s="376" t="n"/>
      <c r="AQ396" s="376" t="n"/>
      <c r="AR396" s="376" t="n"/>
      <c r="AS396" s="376" t="n"/>
      <c r="AT396" s="376" t="n"/>
      <c r="AU396" s="376" t="n"/>
      <c r="AV396" s="376" t="n"/>
      <c r="AW396" s="376" t="n"/>
      <c r="AX396" s="376" t="n"/>
      <c r="AY396" s="376" t="n"/>
      <c r="AZ396" s="376" t="n"/>
      <c r="BA396" s="376" t="n"/>
      <c r="BB396" s="376" t="n"/>
      <c r="BC396" s="376" t="n"/>
      <c r="BD396" s="376" t="n"/>
      <c r="BE396" s="376" t="n"/>
      <c r="BF396" s="376" t="n"/>
      <c r="BG396" s="376" t="n"/>
      <c r="BH396" s="376" t="n"/>
    </row>
    <row r="397">
      <c r="AO397" s="376" t="n"/>
      <c r="AP397" s="376" t="n"/>
      <c r="AQ397" s="376" t="n"/>
      <c r="AR397" s="376" t="n"/>
      <c r="AS397" s="376" t="n"/>
      <c r="AT397" s="376" t="n"/>
      <c r="AU397" s="376" t="n"/>
      <c r="AV397" s="376" t="n"/>
      <c r="AW397" s="376" t="n"/>
      <c r="AX397" s="376" t="n"/>
      <c r="AY397" s="376" t="n"/>
      <c r="AZ397" s="376" t="n"/>
      <c r="BA397" s="376" t="n"/>
      <c r="BB397" s="376" t="n"/>
      <c r="BC397" s="376" t="n"/>
      <c r="BD397" s="376" t="n"/>
      <c r="BE397" s="376" t="n"/>
      <c r="BF397" s="376" t="n"/>
      <c r="BG397" s="376" t="n"/>
      <c r="BH397" s="376" t="n"/>
    </row>
    <row r="398">
      <c r="AO398" s="376" t="n"/>
      <c r="AP398" s="376" t="n"/>
      <c r="AQ398" s="376" t="n"/>
      <c r="AR398" s="376" t="n"/>
      <c r="AS398" s="376" t="n"/>
      <c r="AT398" s="376" t="n"/>
      <c r="AU398" s="376" t="n"/>
      <c r="AV398" s="376" t="n"/>
      <c r="AW398" s="376" t="n"/>
      <c r="AX398" s="376" t="n"/>
      <c r="AY398" s="376" t="n"/>
      <c r="AZ398" s="376" t="n"/>
      <c r="BA398" s="376" t="n"/>
      <c r="BB398" s="376" t="n"/>
      <c r="BC398" s="376" t="n"/>
      <c r="BD398" s="376" t="n"/>
      <c r="BE398" s="376" t="n"/>
      <c r="BF398" s="376" t="n"/>
      <c r="BG398" s="376" t="n"/>
      <c r="BH398" s="376" t="n"/>
    </row>
    <row r="399">
      <c r="AO399" s="376" t="n"/>
      <c r="AP399" s="376" t="n"/>
      <c r="AQ399" s="376" t="n"/>
      <c r="AR399" s="376" t="n"/>
      <c r="AS399" s="376" t="n"/>
      <c r="AT399" s="376" t="n"/>
      <c r="AU399" s="376" t="n"/>
      <c r="AV399" s="376" t="n"/>
      <c r="AW399" s="376" t="n"/>
      <c r="AX399" s="376" t="n"/>
      <c r="AY399" s="376" t="n"/>
      <c r="AZ399" s="376" t="n"/>
      <c r="BA399" s="376" t="n"/>
      <c r="BB399" s="376" t="n"/>
      <c r="BC399" s="376" t="n"/>
      <c r="BD399" s="376" t="n"/>
      <c r="BE399" s="376" t="n"/>
      <c r="BF399" s="376" t="n"/>
      <c r="BG399" s="376" t="n"/>
      <c r="BH399" s="376" t="n"/>
    </row>
    <row r="400">
      <c r="AO400" s="376" t="n"/>
      <c r="AP400" s="376" t="n"/>
      <c r="AQ400" s="376" t="n"/>
      <c r="AR400" s="376" t="n"/>
      <c r="AS400" s="376" t="n"/>
      <c r="AT400" s="376" t="n"/>
      <c r="AU400" s="376" t="n"/>
      <c r="AV400" s="376" t="n"/>
      <c r="AW400" s="376" t="n"/>
      <c r="AX400" s="376" t="n"/>
      <c r="AY400" s="376" t="n"/>
      <c r="AZ400" s="376" t="n"/>
      <c r="BA400" s="376" t="n"/>
      <c r="BB400" s="376" t="n"/>
      <c r="BC400" s="376" t="n"/>
      <c r="BD400" s="376" t="n"/>
      <c r="BE400" s="376" t="n"/>
      <c r="BF400" s="376" t="n"/>
      <c r="BG400" s="376" t="n"/>
      <c r="BH400" s="376" t="n"/>
    </row>
    <row r="401">
      <c r="AO401" s="376" t="n"/>
      <c r="AP401" s="376" t="n"/>
      <c r="AQ401" s="376" t="n"/>
      <c r="AR401" s="376" t="n"/>
      <c r="AS401" s="376" t="n"/>
      <c r="AT401" s="376" t="n"/>
      <c r="AU401" s="376" t="n"/>
      <c r="AV401" s="376" t="n"/>
      <c r="AW401" s="376" t="n"/>
      <c r="AX401" s="376" t="n"/>
      <c r="AY401" s="376" t="n"/>
      <c r="AZ401" s="376" t="n"/>
      <c r="BA401" s="376" t="n"/>
      <c r="BB401" s="376" t="n"/>
      <c r="BC401" s="376" t="n"/>
      <c r="BD401" s="376" t="n"/>
      <c r="BE401" s="376" t="n"/>
      <c r="BF401" s="376" t="n"/>
      <c r="BG401" s="376" t="n"/>
      <c r="BH401" s="376" t="n"/>
    </row>
    <row r="402">
      <c r="AO402" s="376" t="n"/>
      <c r="AP402" s="376" t="n"/>
      <c r="AQ402" s="376" t="n"/>
      <c r="AR402" s="376" t="n"/>
      <c r="AS402" s="376" t="n"/>
      <c r="AT402" s="376" t="n"/>
      <c r="AU402" s="376" t="n"/>
      <c r="AV402" s="376" t="n"/>
      <c r="AW402" s="376" t="n"/>
      <c r="AX402" s="376" t="n"/>
      <c r="AY402" s="376" t="n"/>
      <c r="AZ402" s="376" t="n"/>
      <c r="BA402" s="376" t="n"/>
      <c r="BB402" s="376" t="n"/>
      <c r="BC402" s="376" t="n"/>
      <c r="BD402" s="376" t="n"/>
      <c r="BE402" s="376" t="n"/>
      <c r="BF402" s="376" t="n"/>
      <c r="BG402" s="376" t="n"/>
      <c r="BH402" s="376" t="n"/>
    </row>
    <row r="403">
      <c r="AO403" s="376" t="n"/>
      <c r="AP403" s="376" t="n"/>
      <c r="AQ403" s="376" t="n"/>
      <c r="AR403" s="376" t="n"/>
      <c r="AS403" s="376" t="n"/>
      <c r="AT403" s="376" t="n"/>
      <c r="AU403" s="376" t="n"/>
      <c r="AV403" s="376" t="n"/>
      <c r="AW403" s="376" t="n"/>
      <c r="AX403" s="376" t="n"/>
      <c r="AY403" s="376" t="n"/>
      <c r="AZ403" s="376" t="n"/>
      <c r="BA403" s="376" t="n"/>
      <c r="BB403" s="376" t="n"/>
      <c r="BC403" s="376" t="n"/>
      <c r="BD403" s="376" t="n"/>
      <c r="BE403" s="376" t="n"/>
      <c r="BF403" s="376" t="n"/>
      <c r="BG403" s="376" t="n"/>
      <c r="BH403" s="376" t="n"/>
    </row>
    <row r="404">
      <c r="AO404" s="376" t="n"/>
      <c r="AP404" s="376" t="n"/>
      <c r="AQ404" s="376" t="n"/>
      <c r="AR404" s="376" t="n"/>
      <c r="AS404" s="376" t="n"/>
      <c r="AT404" s="376" t="n"/>
      <c r="AU404" s="376" t="n"/>
      <c r="AV404" s="376" t="n"/>
      <c r="AW404" s="376" t="n"/>
      <c r="AX404" s="376" t="n"/>
      <c r="AY404" s="376" t="n"/>
      <c r="AZ404" s="376" t="n"/>
      <c r="BA404" s="376" t="n"/>
      <c r="BB404" s="376" t="n"/>
      <c r="BC404" s="376" t="n"/>
      <c r="BD404" s="376" t="n"/>
      <c r="BE404" s="376" t="n"/>
      <c r="BF404" s="376" t="n"/>
      <c r="BG404" s="376" t="n"/>
      <c r="BH404" s="376" t="n"/>
    </row>
    <row r="405">
      <c r="AO405" s="376" t="n"/>
      <c r="AP405" s="376" t="n"/>
      <c r="AQ405" s="376" t="n"/>
      <c r="AR405" s="376" t="n"/>
      <c r="AS405" s="376" t="n"/>
      <c r="AT405" s="376" t="n"/>
      <c r="AU405" s="376" t="n"/>
      <c r="AV405" s="376" t="n"/>
      <c r="AW405" s="376" t="n"/>
      <c r="AX405" s="376" t="n"/>
      <c r="AY405" s="376" t="n"/>
      <c r="AZ405" s="376" t="n"/>
      <c r="BA405" s="376" t="n"/>
      <c r="BB405" s="376" t="n"/>
      <c r="BC405" s="376" t="n"/>
      <c r="BD405" s="376" t="n"/>
      <c r="BE405" s="376" t="n"/>
      <c r="BF405" s="376" t="n"/>
      <c r="BG405" s="376" t="n"/>
      <c r="BH405" s="376" t="n"/>
    </row>
    <row r="406">
      <c r="AO406" s="376" t="n"/>
      <c r="AP406" s="376" t="n"/>
      <c r="AQ406" s="376" t="n"/>
      <c r="AR406" s="376" t="n"/>
      <c r="AS406" s="376" t="n"/>
      <c r="AT406" s="376" t="n"/>
      <c r="AU406" s="376" t="n"/>
      <c r="AV406" s="376" t="n"/>
      <c r="AW406" s="376" t="n"/>
      <c r="AX406" s="376" t="n"/>
      <c r="AY406" s="376" t="n"/>
      <c r="AZ406" s="376" t="n"/>
      <c r="BA406" s="376" t="n"/>
      <c r="BB406" s="376" t="n"/>
      <c r="BC406" s="376" t="n"/>
      <c r="BD406" s="376" t="n"/>
      <c r="BE406" s="376" t="n"/>
      <c r="BF406" s="376" t="n"/>
      <c r="BG406" s="376" t="n"/>
      <c r="BH406" s="376" t="n"/>
    </row>
    <row r="407">
      <c r="AO407" s="376" t="n"/>
      <c r="AP407" s="376" t="n"/>
      <c r="AQ407" s="376" t="n"/>
      <c r="AR407" s="376" t="n"/>
      <c r="AS407" s="376" t="n"/>
      <c r="AT407" s="376" t="n"/>
      <c r="AU407" s="376" t="n"/>
      <c r="AV407" s="376" t="n"/>
      <c r="AW407" s="376" t="n"/>
      <c r="AX407" s="376" t="n"/>
      <c r="AY407" s="376" t="n"/>
      <c r="AZ407" s="376" t="n"/>
      <c r="BA407" s="376" t="n"/>
      <c r="BB407" s="376" t="n"/>
      <c r="BC407" s="376" t="n"/>
      <c r="BD407" s="376" t="n"/>
      <c r="BE407" s="376" t="n"/>
      <c r="BF407" s="376" t="n"/>
      <c r="BG407" s="376" t="n"/>
      <c r="BH407" s="376" t="n"/>
    </row>
    <row r="408">
      <c r="AO408" s="376" t="n"/>
      <c r="AP408" s="376" t="n"/>
      <c r="AQ408" s="376" t="n"/>
      <c r="AR408" s="376" t="n"/>
      <c r="AS408" s="376" t="n"/>
      <c r="AT408" s="376" t="n"/>
      <c r="AU408" s="376" t="n"/>
      <c r="AV408" s="376" t="n"/>
      <c r="AW408" s="376" t="n"/>
      <c r="AX408" s="376" t="n"/>
      <c r="AY408" s="376" t="n"/>
      <c r="AZ408" s="376" t="n"/>
      <c r="BA408" s="376" t="n"/>
      <c r="BB408" s="376" t="n"/>
      <c r="BC408" s="376" t="n"/>
      <c r="BD408" s="376" t="n"/>
      <c r="BE408" s="376" t="n"/>
      <c r="BF408" s="376" t="n"/>
      <c r="BG408" s="376" t="n"/>
      <c r="BH408" s="376" t="n"/>
    </row>
    <row r="409">
      <c r="AO409" s="376" t="n"/>
      <c r="AP409" s="376" t="n"/>
      <c r="AQ409" s="376" t="n"/>
      <c r="AR409" s="376" t="n"/>
      <c r="AS409" s="376" t="n"/>
      <c r="AT409" s="376" t="n"/>
      <c r="AU409" s="376" t="n"/>
      <c r="AV409" s="376" t="n"/>
      <c r="AW409" s="376" t="n"/>
      <c r="AX409" s="376" t="n"/>
      <c r="AY409" s="376" t="n"/>
      <c r="AZ409" s="376" t="n"/>
      <c r="BA409" s="376" t="n"/>
      <c r="BB409" s="376" t="n"/>
      <c r="BC409" s="376" t="n"/>
      <c r="BD409" s="376" t="n"/>
      <c r="BE409" s="376" t="n"/>
      <c r="BF409" s="376" t="n"/>
      <c r="BG409" s="376" t="n"/>
      <c r="BH409" s="376" t="n"/>
    </row>
    <row r="410">
      <c r="AO410" s="376" t="n"/>
      <c r="AP410" s="376" t="n"/>
      <c r="AQ410" s="376" t="n"/>
      <c r="AR410" s="376" t="n"/>
      <c r="AS410" s="376" t="n"/>
      <c r="AT410" s="376" t="n"/>
      <c r="AU410" s="376" t="n"/>
      <c r="AV410" s="376" t="n"/>
      <c r="AW410" s="376" t="n"/>
      <c r="AX410" s="376" t="n"/>
      <c r="AY410" s="376" t="n"/>
      <c r="AZ410" s="376" t="n"/>
      <c r="BA410" s="376" t="n"/>
      <c r="BB410" s="376" t="n"/>
      <c r="BC410" s="376" t="n"/>
      <c r="BD410" s="376" t="n"/>
      <c r="BE410" s="376" t="n"/>
      <c r="BF410" s="376" t="n"/>
      <c r="BG410" s="376" t="n"/>
      <c r="BH410" s="376" t="n"/>
    </row>
    <row r="411">
      <c r="AO411" s="376" t="n"/>
      <c r="AP411" s="376" t="n"/>
      <c r="AQ411" s="376" t="n"/>
      <c r="AR411" s="376" t="n"/>
      <c r="AS411" s="376" t="n"/>
      <c r="AT411" s="376" t="n"/>
      <c r="AU411" s="376" t="n"/>
      <c r="AV411" s="376" t="n"/>
      <c r="AW411" s="376" t="n"/>
      <c r="AX411" s="376" t="n"/>
      <c r="AY411" s="376" t="n"/>
      <c r="AZ411" s="376" t="n"/>
      <c r="BA411" s="376" t="n"/>
      <c r="BB411" s="376" t="n"/>
      <c r="BC411" s="376" t="n"/>
      <c r="BD411" s="376" t="n"/>
      <c r="BE411" s="376" t="n"/>
      <c r="BF411" s="376" t="n"/>
      <c r="BG411" s="376" t="n"/>
      <c r="BH411" s="376" t="n"/>
    </row>
    <row r="412">
      <c r="AO412" s="376" t="n"/>
      <c r="AP412" s="376" t="n"/>
      <c r="AQ412" s="376" t="n"/>
      <c r="AR412" s="376" t="n"/>
      <c r="AS412" s="376" t="n"/>
      <c r="AT412" s="376" t="n"/>
      <c r="AU412" s="376" t="n"/>
      <c r="AV412" s="376" t="n"/>
      <c r="AW412" s="376" t="n"/>
      <c r="AX412" s="376" t="n"/>
      <c r="AY412" s="376" t="n"/>
      <c r="AZ412" s="376" t="n"/>
      <c r="BA412" s="376" t="n"/>
      <c r="BB412" s="376" t="n"/>
      <c r="BC412" s="376" t="n"/>
      <c r="BD412" s="376" t="n"/>
      <c r="BE412" s="376" t="n"/>
      <c r="BF412" s="376" t="n"/>
      <c r="BG412" s="376" t="n"/>
      <c r="BH412" s="376" t="n"/>
    </row>
    <row r="413">
      <c r="AO413" s="376" t="n"/>
      <c r="AP413" s="376" t="n"/>
      <c r="AQ413" s="376" t="n"/>
      <c r="AR413" s="376" t="n"/>
      <c r="AS413" s="376" t="n"/>
      <c r="AT413" s="376" t="n"/>
      <c r="AU413" s="376" t="n"/>
      <c r="AV413" s="376" t="n"/>
      <c r="AW413" s="376" t="n"/>
      <c r="AX413" s="376" t="n"/>
      <c r="AY413" s="376" t="n"/>
      <c r="AZ413" s="376" t="n"/>
      <c r="BA413" s="376" t="n"/>
      <c r="BB413" s="376" t="n"/>
      <c r="BC413" s="376" t="n"/>
      <c r="BD413" s="376" t="n"/>
      <c r="BE413" s="376" t="n"/>
      <c r="BF413" s="376" t="n"/>
      <c r="BG413" s="376" t="n"/>
      <c r="BH413" s="376" t="n"/>
    </row>
    <row r="414">
      <c r="AO414" s="376" t="n"/>
      <c r="AP414" s="376" t="n"/>
      <c r="AQ414" s="376" t="n"/>
      <c r="AR414" s="376" t="n"/>
      <c r="AS414" s="376" t="n"/>
      <c r="AT414" s="376" t="n"/>
      <c r="AU414" s="376" t="n"/>
      <c r="AV414" s="376" t="n"/>
      <c r="AW414" s="376" t="n"/>
      <c r="AX414" s="376" t="n"/>
      <c r="AY414" s="376" t="n"/>
      <c r="AZ414" s="376" t="n"/>
      <c r="BA414" s="376" t="n"/>
      <c r="BB414" s="376" t="n"/>
      <c r="BC414" s="376" t="n"/>
      <c r="BD414" s="376" t="n"/>
      <c r="BE414" s="376" t="n"/>
      <c r="BF414" s="376" t="n"/>
      <c r="BG414" s="376" t="n"/>
      <c r="BH414" s="376" t="n"/>
    </row>
    <row r="415">
      <c r="AO415" s="376" t="n"/>
      <c r="AP415" s="376" t="n"/>
      <c r="AQ415" s="376" t="n"/>
      <c r="AR415" s="376" t="n"/>
      <c r="AS415" s="376" t="n"/>
      <c r="AT415" s="376" t="n"/>
      <c r="AU415" s="376" t="n"/>
      <c r="AV415" s="376" t="n"/>
      <c r="AW415" s="376" t="n"/>
      <c r="AX415" s="376" t="n"/>
      <c r="AY415" s="376" t="n"/>
      <c r="AZ415" s="376" t="n"/>
      <c r="BA415" s="376" t="n"/>
      <c r="BB415" s="376" t="n"/>
      <c r="BC415" s="376" t="n"/>
      <c r="BD415" s="376" t="n"/>
      <c r="BE415" s="376" t="n"/>
      <c r="BF415" s="376" t="n"/>
      <c r="BG415" s="376" t="n"/>
      <c r="BH415" s="376" t="n"/>
    </row>
    <row r="416">
      <c r="AO416" s="376" t="n"/>
      <c r="AP416" s="376" t="n"/>
      <c r="AQ416" s="376" t="n"/>
      <c r="AR416" s="376" t="n"/>
      <c r="AS416" s="376" t="n"/>
      <c r="AT416" s="376" t="n"/>
      <c r="AU416" s="376" t="n"/>
      <c r="AV416" s="376" t="n"/>
      <c r="AW416" s="376" t="n"/>
      <c r="AX416" s="376" t="n"/>
      <c r="AY416" s="376" t="n"/>
      <c r="AZ416" s="376" t="n"/>
      <c r="BA416" s="376" t="n"/>
      <c r="BB416" s="376" t="n"/>
      <c r="BC416" s="376" t="n"/>
      <c r="BD416" s="376" t="n"/>
      <c r="BE416" s="376" t="n"/>
      <c r="BF416" s="376" t="n"/>
      <c r="BG416" s="376" t="n"/>
      <c r="BH416" s="376" t="n"/>
    </row>
    <row r="417">
      <c r="AO417" s="376" t="n"/>
      <c r="AP417" s="376" t="n"/>
      <c r="AQ417" s="376" t="n"/>
      <c r="AR417" s="376" t="n"/>
      <c r="AS417" s="376" t="n"/>
      <c r="AT417" s="376" t="n"/>
      <c r="AU417" s="376" t="n"/>
      <c r="AV417" s="376" t="n"/>
      <c r="AW417" s="376" t="n"/>
      <c r="AX417" s="376" t="n"/>
      <c r="AY417" s="376" t="n"/>
      <c r="AZ417" s="376" t="n"/>
      <c r="BA417" s="376" t="n"/>
      <c r="BB417" s="376" t="n"/>
      <c r="BC417" s="376" t="n"/>
      <c r="BD417" s="376" t="n"/>
      <c r="BE417" s="376" t="n"/>
      <c r="BF417" s="376" t="n"/>
      <c r="BG417" s="376" t="n"/>
      <c r="BH417" s="376" t="n"/>
    </row>
    <row r="418">
      <c r="AO418" s="376" t="n"/>
      <c r="AP418" s="376" t="n"/>
      <c r="AQ418" s="376" t="n"/>
      <c r="AR418" s="376" t="n"/>
      <c r="AS418" s="376" t="n"/>
      <c r="AT418" s="376" t="n"/>
      <c r="AU418" s="376" t="n"/>
      <c r="AV418" s="376" t="n"/>
      <c r="AW418" s="376" t="n"/>
      <c r="AX418" s="376" t="n"/>
      <c r="AY418" s="376" t="n"/>
      <c r="AZ418" s="376" t="n"/>
      <c r="BA418" s="376" t="n"/>
      <c r="BB418" s="376" t="n"/>
      <c r="BC418" s="376" t="n"/>
      <c r="BD418" s="376" t="n"/>
      <c r="BE418" s="376" t="n"/>
      <c r="BF418" s="376" t="n"/>
      <c r="BG418" s="376" t="n"/>
      <c r="BH418" s="376" t="n"/>
    </row>
    <row r="419">
      <c r="AO419" s="376" t="n"/>
      <c r="AP419" s="376" t="n"/>
      <c r="AQ419" s="376" t="n"/>
      <c r="AR419" s="376" t="n"/>
      <c r="AS419" s="376" t="n"/>
      <c r="AT419" s="376" t="n"/>
      <c r="AU419" s="376" t="n"/>
      <c r="AV419" s="376" t="n"/>
      <c r="AW419" s="376" t="n"/>
      <c r="AX419" s="376" t="n"/>
      <c r="AY419" s="376" t="n"/>
      <c r="AZ419" s="376" t="n"/>
      <c r="BA419" s="376" t="n"/>
      <c r="BB419" s="376" t="n"/>
      <c r="BC419" s="376" t="n"/>
      <c r="BD419" s="376" t="n"/>
      <c r="BE419" s="376" t="n"/>
      <c r="BF419" s="376" t="n"/>
      <c r="BG419" s="376" t="n"/>
      <c r="BH419" s="376" t="n"/>
    </row>
    <row r="420">
      <c r="AO420" s="376" t="n"/>
      <c r="AP420" s="376" t="n"/>
      <c r="AQ420" s="376" t="n"/>
      <c r="AR420" s="376" t="n"/>
      <c r="AS420" s="376" t="n"/>
      <c r="AT420" s="376" t="n"/>
      <c r="AU420" s="376" t="n"/>
      <c r="AV420" s="376" t="n"/>
      <c r="AW420" s="376" t="n"/>
      <c r="AX420" s="376" t="n"/>
      <c r="AY420" s="376" t="n"/>
      <c r="AZ420" s="376" t="n"/>
      <c r="BA420" s="376" t="n"/>
      <c r="BB420" s="376" t="n"/>
      <c r="BC420" s="376" t="n"/>
      <c r="BD420" s="376" t="n"/>
      <c r="BE420" s="376" t="n"/>
      <c r="BF420" s="376" t="n"/>
      <c r="BG420" s="376" t="n"/>
      <c r="BH420" s="376" t="n"/>
    </row>
    <row r="421">
      <c r="AO421" s="376" t="n"/>
      <c r="AP421" s="376" t="n"/>
      <c r="AQ421" s="376" t="n"/>
      <c r="AR421" s="376" t="n"/>
      <c r="AS421" s="376" t="n"/>
      <c r="AT421" s="376" t="n"/>
      <c r="AU421" s="376" t="n"/>
      <c r="AV421" s="376" t="n"/>
      <c r="AW421" s="376" t="n"/>
      <c r="AX421" s="376" t="n"/>
      <c r="AY421" s="376" t="n"/>
      <c r="AZ421" s="376" t="n"/>
      <c r="BA421" s="376" t="n"/>
      <c r="BB421" s="376" t="n"/>
      <c r="BC421" s="376" t="n"/>
      <c r="BD421" s="376" t="n"/>
      <c r="BE421" s="376" t="n"/>
      <c r="BF421" s="376" t="n"/>
      <c r="BG421" s="376" t="n"/>
      <c r="BH421" s="376" t="n"/>
    </row>
    <row r="422">
      <c r="AO422" s="376" t="n"/>
      <c r="AP422" s="376" t="n"/>
      <c r="AQ422" s="376" t="n"/>
      <c r="AR422" s="376" t="n"/>
      <c r="AS422" s="376" t="n"/>
      <c r="AT422" s="376" t="n"/>
      <c r="AU422" s="376" t="n"/>
      <c r="AV422" s="376" t="n"/>
      <c r="AW422" s="376" t="n"/>
      <c r="AX422" s="376" t="n"/>
      <c r="AY422" s="376" t="n"/>
      <c r="AZ422" s="376" t="n"/>
      <c r="BA422" s="376" t="n"/>
      <c r="BB422" s="376" t="n"/>
      <c r="BC422" s="376" t="n"/>
      <c r="BD422" s="376" t="n"/>
      <c r="BE422" s="376" t="n"/>
      <c r="BF422" s="376" t="n"/>
      <c r="BG422" s="376" t="n"/>
      <c r="BH422" s="376" t="n"/>
    </row>
    <row r="423">
      <c r="AO423" s="376" t="n"/>
      <c r="AP423" s="376" t="n"/>
      <c r="AQ423" s="376" t="n"/>
      <c r="AR423" s="376" t="n"/>
      <c r="AS423" s="376" t="n"/>
      <c r="AT423" s="376" t="n"/>
      <c r="AU423" s="376" t="n"/>
      <c r="AV423" s="376" t="n"/>
      <c r="AW423" s="376" t="n"/>
      <c r="AX423" s="376" t="n"/>
      <c r="AY423" s="376" t="n"/>
      <c r="AZ423" s="376" t="n"/>
      <c r="BA423" s="376" t="n"/>
      <c r="BB423" s="376" t="n"/>
      <c r="BC423" s="376" t="n"/>
      <c r="BD423" s="376" t="n"/>
      <c r="BE423" s="376" t="n"/>
      <c r="BF423" s="376" t="n"/>
      <c r="BG423" s="376" t="n"/>
      <c r="BH423" s="376" t="n"/>
    </row>
    <row r="424">
      <c r="AO424" s="376" t="n"/>
      <c r="AP424" s="376" t="n"/>
      <c r="AQ424" s="376" t="n"/>
      <c r="AR424" s="376" t="n"/>
      <c r="AS424" s="376" t="n"/>
      <c r="AT424" s="376" t="n"/>
      <c r="AU424" s="376" t="n"/>
      <c r="AV424" s="376" t="n"/>
      <c r="AW424" s="376" t="n"/>
      <c r="AX424" s="376" t="n"/>
      <c r="AY424" s="376" t="n"/>
      <c r="AZ424" s="376" t="n"/>
      <c r="BA424" s="376" t="n"/>
      <c r="BB424" s="376" t="n"/>
      <c r="BC424" s="376" t="n"/>
      <c r="BD424" s="376" t="n"/>
      <c r="BE424" s="376" t="n"/>
      <c r="BF424" s="376" t="n"/>
      <c r="BG424" s="376" t="n"/>
      <c r="BH424" s="376" t="n"/>
    </row>
    <row r="425">
      <c r="AO425" s="376" t="n"/>
      <c r="AP425" s="376" t="n"/>
      <c r="AQ425" s="376" t="n"/>
      <c r="AR425" s="376" t="n"/>
      <c r="AS425" s="376" t="n"/>
      <c r="AT425" s="376" t="n"/>
      <c r="AU425" s="376" t="n"/>
      <c r="AV425" s="376" t="n"/>
      <c r="AW425" s="376" t="n"/>
      <c r="AX425" s="376" t="n"/>
      <c r="AY425" s="376" t="n"/>
      <c r="AZ425" s="376" t="n"/>
      <c r="BA425" s="376" t="n"/>
      <c r="BB425" s="376" t="n"/>
      <c r="BC425" s="376" t="n"/>
      <c r="BD425" s="376" t="n"/>
      <c r="BE425" s="376" t="n"/>
      <c r="BF425" s="376" t="n"/>
      <c r="BG425" s="376" t="n"/>
      <c r="BH425" s="376" t="n"/>
    </row>
    <row r="426">
      <c r="AO426" s="376" t="n"/>
      <c r="AP426" s="376" t="n"/>
      <c r="AQ426" s="376" t="n"/>
      <c r="AR426" s="376" t="n"/>
      <c r="AS426" s="376" t="n"/>
      <c r="AT426" s="376" t="n"/>
      <c r="AU426" s="376" t="n"/>
      <c r="AV426" s="376" t="n"/>
      <c r="AW426" s="376" t="n"/>
      <c r="AX426" s="376" t="n"/>
      <c r="AY426" s="376" t="n"/>
      <c r="AZ426" s="376" t="n"/>
      <c r="BA426" s="376" t="n"/>
      <c r="BB426" s="376" t="n"/>
      <c r="BC426" s="376" t="n"/>
      <c r="BD426" s="376" t="n"/>
      <c r="BE426" s="376" t="n"/>
      <c r="BF426" s="376" t="n"/>
      <c r="BG426" s="376" t="n"/>
      <c r="BH426" s="376" t="n"/>
    </row>
    <row r="427">
      <c r="AO427" s="376" t="n"/>
      <c r="AP427" s="376" t="n"/>
      <c r="AQ427" s="376" t="n"/>
      <c r="AR427" s="376" t="n"/>
      <c r="AS427" s="376" t="n"/>
      <c r="AT427" s="376" t="n"/>
      <c r="AU427" s="376" t="n"/>
      <c r="AV427" s="376" t="n"/>
      <c r="AW427" s="376" t="n"/>
      <c r="AX427" s="376" t="n"/>
      <c r="AY427" s="376" t="n"/>
      <c r="AZ427" s="376" t="n"/>
      <c r="BA427" s="376" t="n"/>
      <c r="BB427" s="376" t="n"/>
      <c r="BC427" s="376" t="n"/>
      <c r="BD427" s="376" t="n"/>
      <c r="BE427" s="376" t="n"/>
      <c r="BF427" s="376" t="n"/>
      <c r="BG427" s="376" t="n"/>
      <c r="BH427" s="376" t="n"/>
    </row>
    <row r="428">
      <c r="AO428" s="376" t="n"/>
      <c r="AP428" s="376" t="n"/>
      <c r="AQ428" s="376" t="n"/>
      <c r="AR428" s="376" t="n"/>
      <c r="AS428" s="376" t="n"/>
      <c r="AT428" s="376" t="n"/>
      <c r="AU428" s="376" t="n"/>
      <c r="AV428" s="376" t="n"/>
      <c r="AW428" s="376" t="n"/>
      <c r="AX428" s="376" t="n"/>
      <c r="AY428" s="376" t="n"/>
      <c r="AZ428" s="376" t="n"/>
      <c r="BA428" s="376" t="n"/>
      <c r="BB428" s="376" t="n"/>
      <c r="BC428" s="376" t="n"/>
      <c r="BD428" s="376" t="n"/>
      <c r="BE428" s="376" t="n"/>
      <c r="BF428" s="376" t="n"/>
      <c r="BG428" s="376" t="n"/>
      <c r="BH428" s="376" t="n"/>
    </row>
    <row r="429">
      <c r="AO429" s="376" t="n"/>
      <c r="AP429" s="376" t="n"/>
      <c r="AQ429" s="376" t="n"/>
      <c r="AR429" s="376" t="n"/>
      <c r="AS429" s="376" t="n"/>
      <c r="AT429" s="376" t="n"/>
      <c r="AU429" s="376" t="n"/>
      <c r="AV429" s="376" t="n"/>
      <c r="AW429" s="376" t="n"/>
      <c r="AX429" s="376" t="n"/>
      <c r="AY429" s="376" t="n"/>
      <c r="AZ429" s="376" t="n"/>
      <c r="BA429" s="376" t="n"/>
      <c r="BB429" s="376" t="n"/>
      <c r="BC429" s="376" t="n"/>
      <c r="BD429" s="376" t="n"/>
      <c r="BE429" s="376" t="n"/>
      <c r="BF429" s="376" t="n"/>
      <c r="BG429" s="376" t="n"/>
      <c r="BH429" s="376" t="n"/>
    </row>
    <row r="430">
      <c r="AO430" s="376" t="n"/>
      <c r="AP430" s="376" t="n"/>
      <c r="AQ430" s="376" t="n"/>
      <c r="AR430" s="376" t="n"/>
      <c r="AS430" s="376" t="n"/>
      <c r="AT430" s="376" t="n"/>
      <c r="AU430" s="376" t="n"/>
      <c r="AV430" s="376" t="n"/>
      <c r="AW430" s="376" t="n"/>
      <c r="AX430" s="376" t="n"/>
      <c r="AY430" s="376" t="n"/>
      <c r="AZ430" s="376" t="n"/>
      <c r="BA430" s="376" t="n"/>
      <c r="BB430" s="376" t="n"/>
      <c r="BC430" s="376" t="n"/>
      <c r="BD430" s="376" t="n"/>
      <c r="BE430" s="376" t="n"/>
      <c r="BF430" s="376" t="n"/>
      <c r="BG430" s="376" t="n"/>
      <c r="BH430" s="376" t="n"/>
    </row>
    <row r="431">
      <c r="AO431" s="376" t="n"/>
      <c r="AP431" s="376" t="n"/>
      <c r="AQ431" s="376" t="n"/>
      <c r="AR431" s="376" t="n"/>
      <c r="AS431" s="376" t="n"/>
      <c r="AT431" s="376" t="n"/>
      <c r="AU431" s="376" t="n"/>
      <c r="AV431" s="376" t="n"/>
      <c r="AW431" s="376" t="n"/>
      <c r="AX431" s="376" t="n"/>
      <c r="AY431" s="376" t="n"/>
      <c r="AZ431" s="376" t="n"/>
      <c r="BA431" s="376" t="n"/>
      <c r="BB431" s="376" t="n"/>
      <c r="BC431" s="376" t="n"/>
      <c r="BD431" s="376" t="n"/>
      <c r="BE431" s="376" t="n"/>
      <c r="BF431" s="376" t="n"/>
      <c r="BG431" s="376" t="n"/>
      <c r="BH431" s="376" t="n"/>
    </row>
    <row r="432">
      <c r="AO432" s="376" t="n"/>
      <c r="AP432" s="376" t="n"/>
      <c r="AQ432" s="376" t="n"/>
      <c r="AR432" s="376" t="n"/>
      <c r="AS432" s="376" t="n"/>
      <c r="AT432" s="376" t="n"/>
      <c r="AU432" s="376" t="n"/>
      <c r="AV432" s="376" t="n"/>
      <c r="AW432" s="376" t="n"/>
      <c r="AX432" s="376" t="n"/>
      <c r="AY432" s="376" t="n"/>
      <c r="AZ432" s="376" t="n"/>
      <c r="BA432" s="376" t="n"/>
      <c r="BB432" s="376" t="n"/>
      <c r="BC432" s="376" t="n"/>
      <c r="BD432" s="376" t="n"/>
      <c r="BE432" s="376" t="n"/>
      <c r="BF432" s="376" t="n"/>
      <c r="BG432" s="376" t="n"/>
      <c r="BH432" s="376" t="n"/>
    </row>
    <row r="433">
      <c r="AO433" s="376" t="n"/>
      <c r="AP433" s="376" t="n"/>
      <c r="AQ433" s="376" t="n"/>
      <c r="AR433" s="376" t="n"/>
      <c r="AS433" s="376" t="n"/>
      <c r="AT433" s="376" t="n"/>
      <c r="AU433" s="376" t="n"/>
      <c r="AV433" s="376" t="n"/>
      <c r="AW433" s="376" t="n"/>
      <c r="AX433" s="376" t="n"/>
      <c r="AY433" s="376" t="n"/>
      <c r="AZ433" s="376" t="n"/>
      <c r="BA433" s="376" t="n"/>
      <c r="BB433" s="376" t="n"/>
      <c r="BC433" s="376" t="n"/>
      <c r="BD433" s="376" t="n"/>
      <c r="BE433" s="376" t="n"/>
      <c r="BF433" s="376" t="n"/>
      <c r="BG433" s="376" t="n"/>
      <c r="BH433" s="376" t="n"/>
    </row>
    <row r="434">
      <c r="AO434" s="376" t="n"/>
      <c r="AP434" s="376" t="n"/>
      <c r="AQ434" s="376" t="n"/>
      <c r="AR434" s="376" t="n"/>
      <c r="AS434" s="376" t="n"/>
      <c r="AT434" s="376" t="n"/>
      <c r="AU434" s="376" t="n"/>
      <c r="AV434" s="376" t="n"/>
      <c r="AW434" s="376" t="n"/>
      <c r="AX434" s="376" t="n"/>
      <c r="AY434" s="376" t="n"/>
      <c r="AZ434" s="376" t="n"/>
      <c r="BA434" s="376" t="n"/>
      <c r="BB434" s="376" t="n"/>
      <c r="BC434" s="376" t="n"/>
      <c r="BD434" s="376" t="n"/>
      <c r="BE434" s="376" t="n"/>
      <c r="BF434" s="376" t="n"/>
      <c r="BG434" s="376" t="n"/>
      <c r="BH434" s="376" t="n"/>
    </row>
    <row r="435">
      <c r="AO435" s="376" t="n"/>
      <c r="AP435" s="376" t="n"/>
      <c r="AQ435" s="376" t="n"/>
      <c r="AR435" s="376" t="n"/>
      <c r="AS435" s="376" t="n"/>
      <c r="AT435" s="376" t="n"/>
      <c r="AU435" s="376" t="n"/>
      <c r="AV435" s="376" t="n"/>
      <c r="AW435" s="376" t="n"/>
      <c r="AX435" s="376" t="n"/>
      <c r="AY435" s="376" t="n"/>
      <c r="AZ435" s="376" t="n"/>
      <c r="BA435" s="376" t="n"/>
      <c r="BB435" s="376" t="n"/>
      <c r="BC435" s="376" t="n"/>
      <c r="BD435" s="376" t="n"/>
      <c r="BE435" s="376" t="n"/>
      <c r="BF435" s="376" t="n"/>
      <c r="BG435" s="376" t="n"/>
      <c r="BH435" s="376" t="n"/>
    </row>
    <row r="436">
      <c r="AO436" s="376" t="n"/>
      <c r="AP436" s="376" t="n"/>
      <c r="AQ436" s="376" t="n"/>
      <c r="AR436" s="376" t="n"/>
      <c r="AS436" s="376" t="n"/>
      <c r="AT436" s="376" t="n"/>
      <c r="AU436" s="376" t="n"/>
      <c r="AV436" s="376" t="n"/>
      <c r="AW436" s="376" t="n"/>
      <c r="AX436" s="376" t="n"/>
      <c r="AY436" s="376" t="n"/>
      <c r="AZ436" s="376" t="n"/>
      <c r="BA436" s="376" t="n"/>
      <c r="BB436" s="376" t="n"/>
      <c r="BC436" s="376" t="n"/>
      <c r="BD436" s="376" t="n"/>
      <c r="BE436" s="376" t="n"/>
      <c r="BF436" s="376" t="n"/>
      <c r="BG436" s="376" t="n"/>
      <c r="BH436" s="376" t="n"/>
    </row>
    <row r="437">
      <c r="AO437" s="376" t="n"/>
      <c r="AP437" s="376" t="n"/>
      <c r="AQ437" s="376" t="n"/>
      <c r="AR437" s="376" t="n"/>
      <c r="AS437" s="376" t="n"/>
      <c r="AT437" s="376" t="n"/>
      <c r="AU437" s="376" t="n"/>
      <c r="AV437" s="376" t="n"/>
      <c r="AW437" s="376" t="n"/>
      <c r="AX437" s="376" t="n"/>
      <c r="AY437" s="376" t="n"/>
      <c r="AZ437" s="376" t="n"/>
      <c r="BA437" s="376" t="n"/>
      <c r="BB437" s="376" t="n"/>
      <c r="BC437" s="376" t="n"/>
      <c r="BD437" s="376" t="n"/>
      <c r="BE437" s="376" t="n"/>
      <c r="BF437" s="376" t="n"/>
      <c r="BG437" s="376" t="n"/>
      <c r="BH437" s="376" t="n"/>
    </row>
    <row r="438">
      <c r="AO438" s="376" t="n"/>
      <c r="AP438" s="376" t="n"/>
      <c r="AQ438" s="376" t="n"/>
      <c r="AR438" s="376" t="n"/>
      <c r="AS438" s="376" t="n"/>
      <c r="AT438" s="376" t="n"/>
      <c r="AU438" s="376" t="n"/>
      <c r="AV438" s="376" t="n"/>
      <c r="AW438" s="376" t="n"/>
      <c r="AX438" s="376" t="n"/>
      <c r="AY438" s="376" t="n"/>
      <c r="AZ438" s="376" t="n"/>
      <c r="BA438" s="376" t="n"/>
      <c r="BB438" s="376" t="n"/>
      <c r="BC438" s="376" t="n"/>
      <c r="BD438" s="376" t="n"/>
      <c r="BE438" s="376" t="n"/>
      <c r="BF438" s="376" t="n"/>
      <c r="BG438" s="376" t="n"/>
      <c r="BH438" s="376" t="n"/>
    </row>
    <row r="439">
      <c r="AO439" s="376" t="n"/>
      <c r="AP439" s="376" t="n"/>
      <c r="AQ439" s="376" t="n"/>
      <c r="AR439" s="376" t="n"/>
      <c r="AS439" s="376" t="n"/>
      <c r="AT439" s="376" t="n"/>
      <c r="AU439" s="376" t="n"/>
      <c r="AV439" s="376" t="n"/>
      <c r="AW439" s="376" t="n"/>
      <c r="AX439" s="376" t="n"/>
      <c r="AY439" s="376" t="n"/>
      <c r="AZ439" s="376" t="n"/>
      <c r="BA439" s="376" t="n"/>
      <c r="BB439" s="376" t="n"/>
      <c r="BC439" s="376" t="n"/>
      <c r="BD439" s="376" t="n"/>
      <c r="BE439" s="376" t="n"/>
      <c r="BF439" s="376" t="n"/>
      <c r="BG439" s="376" t="n"/>
      <c r="BH439" s="376" t="n"/>
    </row>
    <row r="440">
      <c r="AO440" s="376" t="n"/>
      <c r="AP440" s="376" t="n"/>
      <c r="AQ440" s="376" t="n"/>
      <c r="AR440" s="376" t="n"/>
      <c r="AS440" s="376" t="n"/>
      <c r="AT440" s="376" t="n"/>
      <c r="AU440" s="376" t="n"/>
      <c r="AV440" s="376" t="n"/>
      <c r="AW440" s="376" t="n"/>
      <c r="AX440" s="376" t="n"/>
      <c r="AY440" s="376" t="n"/>
      <c r="AZ440" s="376" t="n"/>
      <c r="BA440" s="376" t="n"/>
      <c r="BB440" s="376" t="n"/>
      <c r="BC440" s="376" t="n"/>
      <c r="BD440" s="376" t="n"/>
      <c r="BE440" s="376" t="n"/>
      <c r="BF440" s="376" t="n"/>
      <c r="BG440" s="376" t="n"/>
      <c r="BH440" s="376" t="n"/>
    </row>
    <row r="441">
      <c r="AO441" s="376" t="n"/>
      <c r="AP441" s="376" t="n"/>
      <c r="AQ441" s="376" t="n"/>
      <c r="AR441" s="376" t="n"/>
      <c r="AS441" s="376" t="n"/>
      <c r="AT441" s="376" t="n"/>
      <c r="AU441" s="376" t="n"/>
      <c r="AV441" s="376" t="n"/>
      <c r="AW441" s="376" t="n"/>
      <c r="AX441" s="376" t="n"/>
      <c r="AY441" s="376" t="n"/>
      <c r="AZ441" s="376" t="n"/>
      <c r="BA441" s="376" t="n"/>
      <c r="BB441" s="376" t="n"/>
      <c r="BC441" s="376" t="n"/>
      <c r="BD441" s="376" t="n"/>
      <c r="BE441" s="376" t="n"/>
      <c r="BF441" s="376" t="n"/>
      <c r="BG441" s="376" t="n"/>
      <c r="BH441" s="376" t="n"/>
    </row>
    <row r="442">
      <c r="AO442" s="376" t="n"/>
      <c r="AP442" s="376" t="n"/>
      <c r="AQ442" s="376" t="n"/>
      <c r="AR442" s="376" t="n"/>
      <c r="AS442" s="376" t="n"/>
      <c r="AT442" s="376" t="n"/>
      <c r="AU442" s="376" t="n"/>
      <c r="AV442" s="376" t="n"/>
      <c r="AW442" s="376" t="n"/>
      <c r="AX442" s="376" t="n"/>
      <c r="AY442" s="376" t="n"/>
      <c r="AZ442" s="376" t="n"/>
      <c r="BA442" s="376" t="n"/>
      <c r="BB442" s="376" t="n"/>
      <c r="BC442" s="376" t="n"/>
      <c r="BD442" s="376" t="n"/>
      <c r="BE442" s="376" t="n"/>
      <c r="BF442" s="376" t="n"/>
      <c r="BG442" s="376" t="n"/>
      <c r="BH442" s="376" t="n"/>
    </row>
    <row r="443">
      <c r="AO443" s="376" t="n"/>
      <c r="AP443" s="376" t="n"/>
      <c r="AQ443" s="376" t="n"/>
      <c r="AR443" s="376" t="n"/>
      <c r="AS443" s="376" t="n"/>
      <c r="AT443" s="376" t="n"/>
      <c r="AU443" s="376" t="n"/>
      <c r="AV443" s="376" t="n"/>
      <c r="AW443" s="376" t="n"/>
      <c r="AX443" s="376" t="n"/>
      <c r="AY443" s="376" t="n"/>
      <c r="AZ443" s="376" t="n"/>
      <c r="BA443" s="376" t="n"/>
      <c r="BB443" s="376" t="n"/>
      <c r="BC443" s="376" t="n"/>
      <c r="BD443" s="376" t="n"/>
      <c r="BE443" s="376" t="n"/>
      <c r="BF443" s="376" t="n"/>
      <c r="BG443" s="376" t="n"/>
      <c r="BH443" s="376" t="n"/>
    </row>
    <row r="444">
      <c r="AO444" s="376" t="n"/>
      <c r="AP444" s="376" t="n"/>
      <c r="AQ444" s="376" t="n"/>
      <c r="AR444" s="376" t="n"/>
      <c r="AS444" s="376" t="n"/>
      <c r="AT444" s="376" t="n"/>
      <c r="AU444" s="376" t="n"/>
      <c r="AV444" s="376" t="n"/>
      <c r="AW444" s="376" t="n"/>
      <c r="AX444" s="376" t="n"/>
      <c r="AY444" s="376" t="n"/>
      <c r="AZ444" s="376" t="n"/>
      <c r="BA444" s="376" t="n"/>
      <c r="BB444" s="376" t="n"/>
      <c r="BC444" s="376" t="n"/>
      <c r="BD444" s="376" t="n"/>
      <c r="BE444" s="376" t="n"/>
      <c r="BF444" s="376" t="n"/>
      <c r="BG444" s="376" t="n"/>
      <c r="BH444" s="376" t="n"/>
    </row>
    <row r="445">
      <c r="AO445" s="376" t="n"/>
      <c r="AP445" s="376" t="n"/>
      <c r="AQ445" s="376" t="n"/>
      <c r="AR445" s="376" t="n"/>
      <c r="AS445" s="376" t="n"/>
      <c r="AT445" s="376" t="n"/>
      <c r="AU445" s="376" t="n"/>
      <c r="AV445" s="376" t="n"/>
      <c r="AW445" s="376" t="n"/>
      <c r="AX445" s="376" t="n"/>
      <c r="AY445" s="376" t="n"/>
      <c r="AZ445" s="376" t="n"/>
      <c r="BA445" s="376" t="n"/>
      <c r="BB445" s="376" t="n"/>
      <c r="BC445" s="376" t="n"/>
      <c r="BD445" s="376" t="n"/>
      <c r="BE445" s="376" t="n"/>
      <c r="BF445" s="376" t="n"/>
      <c r="BG445" s="376" t="n"/>
      <c r="BH445" s="376" t="n"/>
    </row>
    <row r="446">
      <c r="AO446" s="376" t="n"/>
      <c r="AP446" s="376" t="n"/>
      <c r="AQ446" s="376" t="n"/>
      <c r="AR446" s="376" t="n"/>
      <c r="AS446" s="376" t="n"/>
      <c r="AT446" s="376" t="n"/>
      <c r="AU446" s="376" t="n"/>
      <c r="AV446" s="376" t="n"/>
      <c r="AW446" s="376" t="n"/>
      <c r="AX446" s="376" t="n"/>
      <c r="AY446" s="376" t="n"/>
      <c r="AZ446" s="376" t="n"/>
      <c r="BA446" s="376" t="n"/>
      <c r="BB446" s="376" t="n"/>
      <c r="BC446" s="376" t="n"/>
      <c r="BD446" s="376" t="n"/>
      <c r="BE446" s="376" t="n"/>
      <c r="BF446" s="376" t="n"/>
      <c r="BG446" s="376" t="n"/>
      <c r="BH446" s="376" t="n"/>
    </row>
    <row r="447">
      <c r="AO447" s="376" t="n"/>
      <c r="AP447" s="376" t="n"/>
      <c r="AQ447" s="376" t="n"/>
      <c r="AR447" s="376" t="n"/>
      <c r="AS447" s="376" t="n"/>
      <c r="AT447" s="376" t="n"/>
      <c r="AU447" s="376" t="n"/>
      <c r="AV447" s="376" t="n"/>
      <c r="AW447" s="376" t="n"/>
      <c r="AX447" s="376" t="n"/>
      <c r="AY447" s="376" t="n"/>
      <c r="AZ447" s="376" t="n"/>
      <c r="BA447" s="376" t="n"/>
      <c r="BB447" s="376" t="n"/>
      <c r="BC447" s="376" t="n"/>
      <c r="BD447" s="376" t="n"/>
      <c r="BE447" s="376" t="n"/>
      <c r="BF447" s="376" t="n"/>
      <c r="BG447" s="376" t="n"/>
      <c r="BH447" s="376" t="n"/>
    </row>
    <row r="448">
      <c r="AO448" s="376" t="n"/>
      <c r="AP448" s="376" t="n"/>
      <c r="AQ448" s="376" t="n"/>
      <c r="AR448" s="376" t="n"/>
      <c r="AS448" s="376" t="n"/>
      <c r="AT448" s="376" t="n"/>
      <c r="AU448" s="376" t="n"/>
      <c r="AV448" s="376" t="n"/>
      <c r="AW448" s="376" t="n"/>
      <c r="AX448" s="376" t="n"/>
      <c r="AY448" s="376" t="n"/>
      <c r="AZ448" s="376" t="n"/>
      <c r="BA448" s="376" t="n"/>
      <c r="BB448" s="376" t="n"/>
      <c r="BC448" s="376" t="n"/>
      <c r="BD448" s="376" t="n"/>
      <c r="BE448" s="376" t="n"/>
      <c r="BF448" s="376" t="n"/>
      <c r="BG448" s="376" t="n"/>
      <c r="BH448" s="376" t="n"/>
    </row>
    <row r="449">
      <c r="AO449" s="376" t="n"/>
      <c r="AP449" s="376" t="n"/>
      <c r="AQ449" s="376" t="n"/>
      <c r="AR449" s="376" t="n"/>
      <c r="AS449" s="376" t="n"/>
      <c r="AT449" s="376" t="n"/>
      <c r="AU449" s="376" t="n"/>
      <c r="AV449" s="376" t="n"/>
      <c r="AW449" s="376" t="n"/>
      <c r="AX449" s="376" t="n"/>
      <c r="AY449" s="376" t="n"/>
      <c r="AZ449" s="376" t="n"/>
      <c r="BA449" s="376" t="n"/>
      <c r="BB449" s="376" t="n"/>
      <c r="BC449" s="376" t="n"/>
      <c r="BD449" s="376" t="n"/>
      <c r="BE449" s="376" t="n"/>
      <c r="BF449" s="376" t="n"/>
      <c r="BG449" s="376" t="n"/>
      <c r="BH449" s="376" t="n"/>
    </row>
    <row r="450">
      <c r="AO450" s="376" t="n"/>
      <c r="AP450" s="376" t="n"/>
      <c r="AQ450" s="376" t="n"/>
      <c r="AR450" s="376" t="n"/>
      <c r="AS450" s="376" t="n"/>
      <c r="AT450" s="376" t="n"/>
      <c r="AU450" s="376" t="n"/>
      <c r="AV450" s="376" t="n"/>
      <c r="AW450" s="376" t="n"/>
      <c r="AX450" s="376" t="n"/>
      <c r="AY450" s="376" t="n"/>
      <c r="AZ450" s="376" t="n"/>
      <c r="BA450" s="376" t="n"/>
      <c r="BB450" s="376" t="n"/>
      <c r="BC450" s="376" t="n"/>
      <c r="BD450" s="376" t="n"/>
      <c r="BE450" s="376" t="n"/>
      <c r="BF450" s="376" t="n"/>
      <c r="BG450" s="376" t="n"/>
      <c r="BH450" s="376" t="n"/>
    </row>
    <row r="451">
      <c r="AO451" s="376" t="n"/>
      <c r="AP451" s="376" t="n"/>
      <c r="AQ451" s="376" t="n"/>
      <c r="AR451" s="376" t="n"/>
      <c r="AS451" s="376" t="n"/>
      <c r="AT451" s="376" t="n"/>
      <c r="AU451" s="376" t="n"/>
      <c r="AV451" s="376" t="n"/>
      <c r="AW451" s="376" t="n"/>
      <c r="AX451" s="376" t="n"/>
      <c r="AY451" s="376" t="n"/>
      <c r="AZ451" s="376" t="n"/>
      <c r="BA451" s="376" t="n"/>
      <c r="BB451" s="376" t="n"/>
      <c r="BC451" s="376" t="n"/>
      <c r="BD451" s="376" t="n"/>
      <c r="BE451" s="376" t="n"/>
      <c r="BF451" s="376" t="n"/>
      <c r="BG451" s="376" t="n"/>
      <c r="BH451" s="376" t="n"/>
    </row>
    <row r="452">
      <c r="AO452" s="376" t="n"/>
      <c r="AP452" s="376" t="n"/>
      <c r="AQ452" s="376" t="n"/>
      <c r="AR452" s="376" t="n"/>
      <c r="AS452" s="376" t="n"/>
      <c r="AT452" s="376" t="n"/>
      <c r="AU452" s="376" t="n"/>
      <c r="AV452" s="376" t="n"/>
      <c r="AW452" s="376" t="n"/>
      <c r="AX452" s="376" t="n"/>
      <c r="AY452" s="376" t="n"/>
      <c r="AZ452" s="376" t="n"/>
      <c r="BA452" s="376" t="n"/>
      <c r="BB452" s="376" t="n"/>
      <c r="BC452" s="376" t="n"/>
      <c r="BD452" s="376" t="n"/>
      <c r="BE452" s="376" t="n"/>
      <c r="BF452" s="376" t="n"/>
      <c r="BG452" s="376" t="n"/>
      <c r="BH452" s="376" t="n"/>
    </row>
    <row r="453">
      <c r="AO453" s="376" t="n"/>
      <c r="AP453" s="376" t="n"/>
      <c r="AQ453" s="376" t="n"/>
      <c r="AR453" s="376" t="n"/>
      <c r="AS453" s="376" t="n"/>
      <c r="AT453" s="376" t="n"/>
      <c r="AU453" s="376" t="n"/>
      <c r="AV453" s="376" t="n"/>
      <c r="AW453" s="376" t="n"/>
      <c r="AX453" s="376" t="n"/>
      <c r="AY453" s="376" t="n"/>
      <c r="AZ453" s="376" t="n"/>
      <c r="BA453" s="376" t="n"/>
      <c r="BB453" s="376" t="n"/>
      <c r="BC453" s="376" t="n"/>
      <c r="BD453" s="376" t="n"/>
      <c r="BE453" s="376" t="n"/>
      <c r="BF453" s="376" t="n"/>
      <c r="BG453" s="376" t="n"/>
      <c r="BH453" s="376" t="n"/>
    </row>
    <row r="454">
      <c r="AO454" s="376" t="n"/>
      <c r="AP454" s="376" t="n"/>
      <c r="AQ454" s="376" t="n"/>
      <c r="AR454" s="376" t="n"/>
      <c r="AS454" s="376" t="n"/>
      <c r="AT454" s="376" t="n"/>
      <c r="AU454" s="376" t="n"/>
      <c r="AV454" s="376" t="n"/>
      <c r="AW454" s="376" t="n"/>
      <c r="AX454" s="376" t="n"/>
      <c r="AY454" s="376" t="n"/>
      <c r="AZ454" s="376" t="n"/>
      <c r="BA454" s="376" t="n"/>
      <c r="BB454" s="376" t="n"/>
      <c r="BC454" s="376" t="n"/>
      <c r="BD454" s="376" t="n"/>
      <c r="BE454" s="376" t="n"/>
      <c r="BF454" s="376" t="n"/>
      <c r="BG454" s="376" t="n"/>
      <c r="BH454" s="376" t="n"/>
    </row>
    <row r="455">
      <c r="AO455" s="376" t="n"/>
      <c r="AP455" s="376" t="n"/>
      <c r="AQ455" s="376" t="n"/>
      <c r="AR455" s="376" t="n"/>
      <c r="AS455" s="376" t="n"/>
      <c r="AT455" s="376" t="n"/>
      <c r="AU455" s="376" t="n"/>
      <c r="AV455" s="376" t="n"/>
      <c r="AW455" s="376" t="n"/>
      <c r="AX455" s="376" t="n"/>
      <c r="AY455" s="376" t="n"/>
      <c r="AZ455" s="376" t="n"/>
      <c r="BA455" s="376" t="n"/>
      <c r="BB455" s="376" t="n"/>
      <c r="BC455" s="376" t="n"/>
      <c r="BD455" s="376" t="n"/>
      <c r="BE455" s="376" t="n"/>
      <c r="BF455" s="376" t="n"/>
      <c r="BG455" s="376" t="n"/>
      <c r="BH455" s="376" t="n"/>
    </row>
    <row r="456">
      <c r="AO456" s="376" t="n"/>
      <c r="AP456" s="376" t="n"/>
      <c r="AQ456" s="376" t="n"/>
      <c r="AR456" s="376" t="n"/>
      <c r="AS456" s="376" t="n"/>
      <c r="AT456" s="376" t="n"/>
      <c r="AU456" s="376" t="n"/>
      <c r="AV456" s="376" t="n"/>
      <c r="AW456" s="376" t="n"/>
      <c r="AX456" s="376" t="n"/>
      <c r="AY456" s="376" t="n"/>
      <c r="AZ456" s="376" t="n"/>
      <c r="BA456" s="376" t="n"/>
      <c r="BB456" s="376" t="n"/>
      <c r="BC456" s="376" t="n"/>
      <c r="BD456" s="376" t="n"/>
      <c r="BE456" s="376" t="n"/>
      <c r="BF456" s="376" t="n"/>
      <c r="BG456" s="376" t="n"/>
      <c r="BH456" s="376" t="n"/>
    </row>
    <row r="457">
      <c r="AO457" s="376" t="n"/>
      <c r="AP457" s="376" t="n"/>
      <c r="AQ457" s="376" t="n"/>
      <c r="AR457" s="376" t="n"/>
      <c r="AS457" s="376" t="n"/>
      <c r="AT457" s="376" t="n"/>
      <c r="AU457" s="376" t="n"/>
      <c r="AV457" s="376" t="n"/>
      <c r="AW457" s="376" t="n"/>
      <c r="AX457" s="376" t="n"/>
      <c r="AY457" s="376" t="n"/>
      <c r="AZ457" s="376" t="n"/>
      <c r="BA457" s="376" t="n"/>
      <c r="BB457" s="376" t="n"/>
      <c r="BC457" s="376" t="n"/>
      <c r="BD457" s="376" t="n"/>
      <c r="BE457" s="376" t="n"/>
      <c r="BF457" s="376" t="n"/>
      <c r="BG457" s="376" t="n"/>
      <c r="BH457" s="376" t="n"/>
    </row>
    <row r="458">
      <c r="AO458" s="301" t="n"/>
      <c r="AP458" s="301" t="n"/>
      <c r="AQ458" s="301" t="n"/>
      <c r="AR458" s="301" t="n"/>
      <c r="AS458" s="301" t="n"/>
      <c r="AT458" s="301" t="n"/>
      <c r="AU458" s="301" t="n"/>
      <c r="AV458" s="301" t="n"/>
      <c r="AW458" s="301" t="n"/>
      <c r="AX458" s="301" t="n"/>
      <c r="AY458" s="301" t="n"/>
      <c r="AZ458" s="301" t="n"/>
      <c r="BA458" s="301" t="n"/>
      <c r="BB458" s="378" t="n"/>
      <c r="BC458" s="378" t="n"/>
      <c r="BD458" s="376" t="n"/>
      <c r="BE458" s="376" t="n"/>
      <c r="BF458" s="376" t="n"/>
      <c r="BG458" s="378" t="n"/>
      <c r="BH458" s="378" t="n"/>
    </row>
    <row r="459">
      <c r="BB459" s="378" t="n"/>
      <c r="BC459" s="378" t="n"/>
      <c r="BD459" s="376" t="n"/>
      <c r="BE459" s="376" t="n"/>
      <c r="BF459" s="376" t="n"/>
      <c r="BG459" s="378" t="n"/>
      <c r="BH459" s="378" t="n"/>
    </row>
    <row r="460">
      <c r="BD460" s="376" t="n"/>
      <c r="BE460" s="376" t="n"/>
      <c r="BF460" s="376" t="n"/>
    </row>
    <row r="461">
      <c r="BD461" s="376" t="n"/>
      <c r="BE461" s="376" t="n"/>
      <c r="BF461" s="376" t="n"/>
    </row>
    <row r="462">
      <c r="BD462" s="376" t="n"/>
      <c r="BE462" s="376" t="n"/>
      <c r="BF462" s="376" t="n"/>
    </row>
    <row r="463">
      <c r="BD463" s="376" t="n"/>
      <c r="BE463" s="376" t="n"/>
      <c r="BF463" s="376" t="n"/>
    </row>
    <row r="464">
      <c r="BD464" s="376" t="n"/>
      <c r="BE464" s="376" t="n"/>
      <c r="BF464" s="376" t="n"/>
    </row>
    <row r="465">
      <c r="BD465" s="376" t="n"/>
      <c r="BE465" s="376" t="n"/>
      <c r="BF465" s="376" t="n"/>
    </row>
    <row r="466">
      <c r="BD466" s="376" t="n"/>
      <c r="BE466" s="376" t="n"/>
      <c r="BF466" s="376" t="n"/>
    </row>
    <row r="467">
      <c r="BD467" s="376" t="n"/>
      <c r="BE467" s="376" t="n"/>
      <c r="BF467" s="376" t="n"/>
    </row>
    <row r="468">
      <c r="BD468" s="301" t="n"/>
      <c r="BE468" s="301" t="n"/>
      <c r="BF468" s="301" t="n"/>
    </row>
    <row r="469">
      <c r="BD469" s="301" t="n"/>
      <c r="BE469" s="301" t="n"/>
      <c r="BF469" s="301" t="n"/>
    </row>
    <row r="470">
      <c r="BD470" s="301" t="n"/>
      <c r="BE470" s="301" t="n"/>
      <c r="BF470" s="301" t="n"/>
    </row>
    <row r="471">
      <c r="BD471" s="301" t="n"/>
      <c r="BE471" s="301" t="n"/>
      <c r="BF471" s="301" t="n"/>
    </row>
    <row r="472">
      <c r="BD472" s="301" t="n"/>
      <c r="BE472" s="301" t="n"/>
      <c r="BF472" s="301" t="n"/>
    </row>
    <row r="473">
      <c r="BD473" s="301" t="n"/>
      <c r="BE473" s="301" t="n"/>
      <c r="BF473" s="301" t="n"/>
    </row>
    <row r="474">
      <c r="BD474" s="301" t="n"/>
      <c r="BE474" s="301" t="n"/>
      <c r="BF474" s="301" t="n"/>
    </row>
    <row r="475">
      <c r="BD475" s="301" t="n"/>
      <c r="BE475" s="301" t="n"/>
      <c r="BF475" s="301" t="n"/>
    </row>
    <row r="476">
      <c r="BD476" s="301" t="n"/>
      <c r="BE476" s="301" t="n"/>
      <c r="BF476" s="301" t="n"/>
    </row>
    <row r="477">
      <c r="BD477" s="301" t="n"/>
      <c r="BE477" s="301" t="n"/>
      <c r="BF477" s="301" t="n"/>
    </row>
    <row r="478">
      <c r="BD478" s="301" t="n"/>
      <c r="BE478" s="301" t="n"/>
      <c r="BF478" s="301" t="n"/>
    </row>
    <row r="479">
      <c r="BD479" s="301" t="n"/>
      <c r="BE479" s="301" t="n"/>
      <c r="BF479" s="301" t="n"/>
    </row>
    <row r="480">
      <c r="BD480" s="301" t="n"/>
      <c r="BE480" s="301" t="n"/>
      <c r="BF480" s="301" t="n"/>
    </row>
    <row r="481">
      <c r="BD481" s="301" t="n"/>
      <c r="BE481" s="301" t="n"/>
      <c r="BF481" s="301" t="n"/>
    </row>
    <row r="482">
      <c r="BD482" s="301" t="n"/>
      <c r="BE482" s="301" t="n"/>
      <c r="BF482" s="301" t="n"/>
    </row>
    <row r="483">
      <c r="BD483" s="301" t="n"/>
      <c r="BE483" s="301" t="n"/>
      <c r="BF483" s="301" t="n"/>
    </row>
    <row r="484">
      <c r="BD484" s="301" t="n"/>
      <c r="BE484" s="301" t="n"/>
      <c r="BF484" s="301" t="n"/>
    </row>
    <row r="485">
      <c r="BD485" s="301" t="n"/>
      <c r="BE485" s="301" t="n"/>
      <c r="BF485" s="301" t="n"/>
    </row>
    <row r="486">
      <c r="BD486" s="301" t="n"/>
      <c r="BE486" s="301" t="n"/>
      <c r="BF486" s="301" t="n"/>
    </row>
  </sheetData>
  <sheetProtection selectLockedCells="0" selectUnlockedCells="0" algorithmName="SHA-512" sheet="1" objects="0" insertRows="0" insertHyperlinks="1" autoFilter="1" scenarios="0" formatColumns="0" deleteColumns="0" insertColumns="0" pivotTables="1" deleteRows="0" formatCells="0" saltValue="8apMB/1nYd2xAIkG0f42MA==" formatRows="0" sort="1" spinCount="100000" hashValue="7kLH7JYLVgXNRIu22iWZIOv9DVUcDQ9xOnkKYWtMJveA8zvBpD5UV3kJsYOV0u9xUv8pG4n3nK5Y2CfiDSpxgA=="/>
  <dataValidations count="1">
    <dataValidation sqref="D27" showDropDown="0" showInputMessage="1" showErrorMessage="1" allowBlank="1" type="list">
      <formula1>$AO$9:$BA$9</formula1>
    </dataValidation>
  </dataValidations>
  <pageMargins left="0.748030402449694" right="0.748030402449694" top="0.984251968503937" bottom="0.984251968503937" header="0.511809930008749" footer="0.511809930008749"/>
  <pageSetup orientation="landscape" paperSize="9" scale="9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D9:M53"/>
  <sheetViews>
    <sheetView topLeftCell="A10" workbookViewId="0">
      <selection activeCell="D43" sqref="D43"/>
    </sheetView>
  </sheetViews>
  <sheetFormatPr baseColWidth="8" defaultColWidth="8.88671875" defaultRowHeight="13.2"/>
  <cols>
    <col width="8.88671875" customWidth="1" style="582" min="1" max="3"/>
    <col width="18.33203125" bestFit="1" customWidth="1" style="582" min="4" max="4"/>
    <col width="12.88671875" bestFit="1" customWidth="1" style="582" min="5" max="5"/>
    <col width="11.109375" bestFit="1" customWidth="1" style="582" min="6" max="6"/>
    <col width="10.6640625" customWidth="1" style="582" min="7" max="7"/>
    <col width="15.5546875" bestFit="1" customWidth="1" style="582" min="8" max="8"/>
    <col width="16.109375" bestFit="1" customWidth="1" style="582" min="9" max="9"/>
    <col width="20.109375" bestFit="1" customWidth="1" style="582" min="10" max="10"/>
    <col width="16.109375" bestFit="1" customWidth="1" style="582" min="11" max="11"/>
    <col width="21.33203125" bestFit="1" customWidth="1" style="582" min="12" max="12"/>
    <col width="16.109375" bestFit="1" customWidth="1" style="582" min="13" max="13"/>
    <col width="8.88671875" customWidth="1" style="582" min="14" max="15"/>
    <col width="8.88671875" customWidth="1" style="582" min="16" max="16384"/>
  </cols>
  <sheetData>
    <row r="9">
      <c r="D9" s="714" t="inlineStr">
        <is>
          <t>Nominal Mass</t>
        </is>
      </c>
      <c r="E9" s="714" t="inlineStr">
        <is>
          <t>Marking</t>
        </is>
      </c>
      <c r="F9" s="714" t="inlineStr">
        <is>
          <t>Code</t>
        </is>
      </c>
      <c r="G9" s="714" t="inlineStr">
        <is>
          <t>M</t>
        </is>
      </c>
      <c r="H9" s="714" t="inlineStr">
        <is>
          <t>Error</t>
        </is>
      </c>
      <c r="I9" s="714" t="inlineStr">
        <is>
          <t>U</t>
        </is>
      </c>
    </row>
    <row r="10">
      <c r="D10" s="369" t="n">
        <v>1</v>
      </c>
      <c r="E10" s="369" t="n"/>
      <c r="F10" s="369">
        <f>IF(OR(Table15[[#This Row],[Marking]]="",Table15[[#This Row],[Marking]]="*"),CONCATENATE(Table15[[#This Row],[Nominal Mass]]," ",Table15[[#This Row],[Marking]]),Table15[[#This Row],[Marking]])</f>
        <v/>
      </c>
      <c r="G10" s="369">
        <f>IF(OR(Table15[[#This Row],[Marking]]="",Table15[[#This Row],[Marking]]="*"),CONCATENATE(Table15[[#This Row],[Nominal Mass]]," ", "mg"),CONCATENATE(Table15[[#This Row],[Nominal Mass]]," ", "g"))</f>
        <v/>
      </c>
      <c r="H10" s="369" t="n"/>
      <c r="I10" s="369" t="n"/>
    </row>
    <row r="11">
      <c r="D11" s="369" t="n">
        <v>2</v>
      </c>
      <c r="E11" s="714" t="n"/>
      <c r="F11" s="714">
        <f>IF(OR(Table15[[#This Row],[Marking]]="",Table15[[#This Row],[Marking]]="*"),CONCATENATE(Table15[[#This Row],[Nominal Mass]]," ",Table15[[#This Row],[Marking]]),Table15[[#This Row],[Marking]])</f>
        <v/>
      </c>
      <c r="G11" s="369">
        <f>IF(OR(Table15[[#This Row],[Marking]]="",Table15[[#This Row],[Marking]]="*"),CONCATENATE(Table15[[#This Row],[Nominal Mass]]," ", "mg"),CONCATENATE(Table15[[#This Row],[Nominal Mass]]," ", "g"))</f>
        <v/>
      </c>
      <c r="H11" s="369" t="n"/>
      <c r="I11" s="369" t="n"/>
    </row>
    <row r="12">
      <c r="D12" s="369" t="n">
        <v>2</v>
      </c>
      <c r="E12" s="714" t="inlineStr">
        <is>
          <t>*</t>
        </is>
      </c>
      <c r="F12" s="714">
        <f>IF(OR(Table15[[#This Row],[Marking]]="",Table15[[#This Row],[Marking]]="*"),CONCATENATE(Table15[[#This Row],[Nominal Mass]]," ",Table15[[#This Row],[Marking]]),Table15[[#This Row],[Marking]])</f>
        <v/>
      </c>
      <c r="G12" s="369">
        <f>IF(OR(Table15[[#This Row],[Marking]]="",Table15[[#This Row],[Marking]]="*"),CONCATENATE(Table15[[#This Row],[Nominal Mass]]," ", "mg"),CONCATENATE(Table15[[#This Row],[Nominal Mass]]," ", "g"))</f>
        <v/>
      </c>
      <c r="H12" s="369" t="n"/>
      <c r="I12" s="369" t="n"/>
    </row>
    <row r="13">
      <c r="D13" s="369" t="n">
        <v>5</v>
      </c>
      <c r="E13" s="714" t="n"/>
      <c r="F13" s="714">
        <f>IF(OR(Table15[[#This Row],[Marking]]="",Table15[[#This Row],[Marking]]="*"),CONCATENATE(Table15[[#This Row],[Nominal Mass]]," ",Table15[[#This Row],[Marking]]),Table15[[#This Row],[Marking]])</f>
        <v/>
      </c>
      <c r="G13" s="369">
        <f>IF(OR(Table15[[#This Row],[Marking]]="",Table15[[#This Row],[Marking]]="*"),CONCATENATE(Table15[[#This Row],[Nominal Mass]]," ", "mg"),CONCATENATE(Table15[[#This Row],[Nominal Mass]]," ", "g"))</f>
        <v/>
      </c>
      <c r="H13" s="369" t="n"/>
      <c r="I13" s="369" t="n"/>
    </row>
    <row r="14">
      <c r="D14" s="369" t="n">
        <v>10</v>
      </c>
      <c r="E14" s="369" t="n"/>
      <c r="F14" s="369">
        <f>IF(OR(Table15[[#This Row],[Marking]]="",Table15[[#This Row],[Marking]]="*"),CONCATENATE(Table15[[#This Row],[Nominal Mass]]," ",Table15[[#This Row],[Marking]]),Table15[[#This Row],[Marking]])</f>
        <v/>
      </c>
      <c r="G14" s="369">
        <f>IF(OR(Table15[[#This Row],[Marking]]="",Table15[[#This Row],[Marking]]="*"),CONCATENATE(Table15[[#This Row],[Nominal Mass]]," ", "mg"),CONCATENATE(Table15[[#This Row],[Nominal Mass]]," ", "g"))</f>
        <v/>
      </c>
      <c r="H14" s="369" t="n"/>
      <c r="I14" s="369" t="n"/>
    </row>
    <row r="15">
      <c r="D15" s="369" t="n">
        <v>20</v>
      </c>
      <c r="E15" s="369" t="n"/>
      <c r="F15" s="369">
        <f>IF(OR(Table15[[#This Row],[Marking]]="",Table15[[#This Row],[Marking]]="*"),CONCATENATE(Table15[[#This Row],[Nominal Mass]]," ",Table15[[#This Row],[Marking]]),Table15[[#This Row],[Marking]])</f>
        <v/>
      </c>
      <c r="G15" s="369">
        <f>IF(OR(Table15[[#This Row],[Marking]]="",Table15[[#This Row],[Marking]]="*"),CONCATENATE(Table15[[#This Row],[Nominal Mass]]," ", "mg"),CONCATENATE(Table15[[#This Row],[Nominal Mass]]," ", "g"))</f>
        <v/>
      </c>
      <c r="H15" s="369" t="n"/>
      <c r="I15" s="369" t="n"/>
    </row>
    <row r="16">
      <c r="D16" s="369" t="n">
        <v>20</v>
      </c>
      <c r="E16" s="714" t="inlineStr">
        <is>
          <t>*</t>
        </is>
      </c>
      <c r="F16" s="714">
        <f>IF(OR(Table15[[#This Row],[Marking]]="",Table15[[#This Row],[Marking]]="*"),CONCATENATE(Table15[[#This Row],[Nominal Mass]]," ",Table15[[#This Row],[Marking]]),Table15[[#This Row],[Marking]])</f>
        <v/>
      </c>
      <c r="G16" s="369">
        <f>IF(OR(Table15[[#This Row],[Marking]]="",Table15[[#This Row],[Marking]]="*"),CONCATENATE(Table15[[#This Row],[Nominal Mass]]," ", "mg"),CONCATENATE(Table15[[#This Row],[Nominal Mass]]," ", "g"))</f>
        <v/>
      </c>
      <c r="H16" s="369" t="n"/>
      <c r="I16" s="369" t="n"/>
    </row>
    <row r="17">
      <c r="D17" s="369" t="n">
        <v>50</v>
      </c>
      <c r="E17" s="369" t="n"/>
      <c r="F17" s="369">
        <f>IF(OR(Table15[[#This Row],[Marking]]="",Table15[[#This Row],[Marking]]="*"),CONCATENATE(Table15[[#This Row],[Nominal Mass]]," ",Table15[[#This Row],[Marking]]),Table15[[#This Row],[Marking]])</f>
        <v/>
      </c>
      <c r="G17" s="369">
        <f>IF(OR(Table15[[#This Row],[Marking]]="",Table15[[#This Row],[Marking]]="*"),CONCATENATE(Table15[[#This Row],[Nominal Mass]]," ", "mg"),CONCATENATE(Table15[[#This Row],[Nominal Mass]]," ", "g"))</f>
        <v/>
      </c>
      <c r="H17" s="369" t="n"/>
      <c r="I17" s="369" t="n"/>
    </row>
    <row r="18">
      <c r="D18" s="369" t="n">
        <v>100</v>
      </c>
      <c r="E18" s="369" t="n"/>
      <c r="F18" s="369">
        <f>IF(OR(Table15[[#This Row],[Marking]]="",Table15[[#This Row],[Marking]]="*"),CONCATENATE(Table15[[#This Row],[Nominal Mass]]," ",Table15[[#This Row],[Marking]]),Table15[[#This Row],[Marking]])</f>
        <v/>
      </c>
      <c r="G18" s="369">
        <f>IF(OR(Table15[[#This Row],[Marking]]="",Table15[[#This Row],[Marking]]="*"),CONCATENATE(Table15[[#This Row],[Nominal Mass]]," ", "mg"),CONCATENATE(Table15[[#This Row],[Nominal Mass]]," ", "g"))</f>
        <v/>
      </c>
      <c r="H18" s="369" t="n"/>
      <c r="I18" s="369" t="n"/>
    </row>
    <row r="19">
      <c r="D19" s="369" t="n">
        <v>200</v>
      </c>
      <c r="E19" s="369" t="n"/>
      <c r="F19" s="369">
        <f>IF(OR(Table15[[#This Row],[Marking]]="",Table15[[#This Row],[Marking]]="*"),CONCATENATE(Table15[[#This Row],[Nominal Mass]]," ",Table15[[#This Row],[Marking]]),Table15[[#This Row],[Marking]])</f>
        <v/>
      </c>
      <c r="G19" s="369">
        <f>IF(OR(Table15[[#This Row],[Marking]]="",Table15[[#This Row],[Marking]]="*"),CONCATENATE(Table15[[#This Row],[Nominal Mass]]," ", "mg"),CONCATENATE(Table15[[#This Row],[Nominal Mass]]," ", "g"))</f>
        <v/>
      </c>
      <c r="H19" s="369" t="n"/>
      <c r="I19" s="369" t="n"/>
    </row>
    <row r="20">
      <c r="D20" s="369" t="n">
        <v>200</v>
      </c>
      <c r="E20" s="714" t="inlineStr">
        <is>
          <t>*</t>
        </is>
      </c>
      <c r="F20" s="714">
        <f>IF(OR(Table15[[#This Row],[Marking]]="",Table15[[#This Row],[Marking]]="*"),CONCATENATE(Table15[[#This Row],[Nominal Mass]]," ",Table15[[#This Row],[Marking]]),Table15[[#This Row],[Marking]])</f>
        <v/>
      </c>
      <c r="G20" s="369">
        <f>IF(OR(Table15[[#This Row],[Marking]]="",Table15[[#This Row],[Marking]]="*"),CONCATENATE(Table15[[#This Row],[Nominal Mass]]," ", "mg"),CONCATENATE(Table15[[#This Row],[Nominal Mass]]," ", "g"))</f>
        <v/>
      </c>
      <c r="H20" s="369" t="n"/>
      <c r="I20" s="369" t="n"/>
    </row>
    <row r="21">
      <c r="D21" s="369" t="n">
        <v>500</v>
      </c>
      <c r="E21" s="369" t="n"/>
      <c r="F21" s="369">
        <f>IF(OR(Table15[[#This Row],[Marking]]="",Table15[[#This Row],[Marking]]="*"),CONCATENATE(Table15[[#This Row],[Nominal Mass]]," ",Table15[[#This Row],[Marking]]),Table15[[#This Row],[Marking]])</f>
        <v/>
      </c>
      <c r="G21" s="369">
        <f>IF(OR(Table15[[#This Row],[Marking]]="",Table15[[#This Row],[Marking]]="*"),CONCATENATE(Table15[[#This Row],[Nominal Mass]]," ", "mg"),CONCATENATE(Table15[[#This Row],[Nominal Mass]]," ", "g"))</f>
        <v/>
      </c>
      <c r="H21" s="369" t="n"/>
      <c r="I21" s="369" t="n"/>
    </row>
    <row r="22">
      <c r="D22" s="369" t="n">
        <v>1</v>
      </c>
      <c r="E22" s="714" t="inlineStr">
        <is>
          <t>GH5</t>
        </is>
      </c>
      <c r="F22" s="714">
        <f>IF(OR(Table15[[#This Row],[Marking]]="",Table15[[#This Row],[Marking]]="*"),CONCATENATE(Table15[[#This Row],[Nominal Mass]]," ",Table15[[#This Row],[Marking]]),Table15[[#This Row],[Marking]])</f>
        <v/>
      </c>
      <c r="G22" s="369">
        <f>IF(OR(Table15[[#This Row],[Marking]]="",Table15[[#This Row],[Marking]]="*"),CONCATENATE(Table15[[#This Row],[Nominal Mass]]," ", "mg"),CONCATENATE(Table15[[#This Row],[Nominal Mass]]," ", "g"))</f>
        <v/>
      </c>
      <c r="H22" s="369" t="n"/>
      <c r="I22" s="369" t="n"/>
    </row>
    <row r="23">
      <c r="D23" s="369" t="n">
        <v>2</v>
      </c>
      <c r="E23" s="714" t="inlineStr">
        <is>
          <t>GYY</t>
        </is>
      </c>
      <c r="F23" s="714">
        <f>IF(OR(Table15[[#This Row],[Marking]]="",Table15[[#This Row],[Marking]]="*"),CONCATENATE(Table15[[#This Row],[Nominal Mass]]," ",Table15[[#This Row],[Marking]]),Table15[[#This Row],[Marking]])</f>
        <v/>
      </c>
      <c r="G23" s="369">
        <f>IF(OR(Table15[[#This Row],[Marking]]="",Table15[[#This Row],[Marking]]="*"),CONCATENATE(Table15[[#This Row],[Nominal Mass]]," ", "mg"),CONCATENATE(Table15[[#This Row],[Nominal Mass]]," ", "g"))</f>
        <v/>
      </c>
      <c r="H23" s="369" t="n"/>
      <c r="I23" s="369" t="n"/>
    </row>
    <row r="24">
      <c r="D24" s="369" t="n">
        <v>2</v>
      </c>
      <c r="E24" s="714" t="inlineStr">
        <is>
          <t>GYZ</t>
        </is>
      </c>
      <c r="F24" s="714">
        <f>IF(OR(Table15[[#This Row],[Marking]]="",Table15[[#This Row],[Marking]]="*"),CONCATENATE(Table15[[#This Row],[Nominal Mass]]," ",Table15[[#This Row],[Marking]]),Table15[[#This Row],[Marking]])</f>
        <v/>
      </c>
      <c r="G24" s="369">
        <f>IF(OR(Table15[[#This Row],[Marking]]="",Table15[[#This Row],[Marking]]="*"),CONCATENATE(Table15[[#This Row],[Nominal Mass]]," ", "mg"),CONCATENATE(Table15[[#This Row],[Nominal Mass]]," ", "g"))</f>
        <v/>
      </c>
      <c r="H24" s="369" t="n"/>
      <c r="I24" s="369" t="n"/>
    </row>
    <row r="25">
      <c r="D25" s="369" t="n">
        <v>5</v>
      </c>
      <c r="E25" s="714" t="inlineStr">
        <is>
          <t>EX2</t>
        </is>
      </c>
      <c r="F25" s="714">
        <f>IF(OR(Table15[[#This Row],[Marking]]="",Table15[[#This Row],[Marking]]="*"),CONCATENATE(Table15[[#This Row],[Nominal Mass]]," ",Table15[[#This Row],[Marking]]),Table15[[#This Row],[Marking]])</f>
        <v/>
      </c>
      <c r="G25" s="369">
        <f>IF(OR(Table15[[#This Row],[Marking]]="",Table15[[#This Row],[Marking]]="*"),CONCATENATE(Table15[[#This Row],[Nominal Mass]]," ", "mg"),CONCATENATE(Table15[[#This Row],[Nominal Mass]]," ", "g"))</f>
        <v/>
      </c>
      <c r="H25" s="369" t="n">
        <v>0</v>
      </c>
      <c r="I25" s="369" t="n">
        <v>0.07000000000000001</v>
      </c>
    </row>
    <row r="26">
      <c r="D26" s="369" t="n">
        <v>10</v>
      </c>
      <c r="E26" s="714" t="inlineStr">
        <is>
          <t>FBY</t>
        </is>
      </c>
      <c r="F26" s="714">
        <f>IF(OR(Table15[[#This Row],[Marking]]="",Table15[[#This Row],[Marking]]="*"),CONCATENATE(Table15[[#This Row],[Nominal Mass]]," ",Table15[[#This Row],[Marking]]),Table15[[#This Row],[Marking]])</f>
        <v/>
      </c>
      <c r="G26" s="369">
        <f>IF(OR(Table15[[#This Row],[Marking]]="",Table15[[#This Row],[Marking]]="*"),CONCATENATE(Table15[[#This Row],[Nominal Mass]]," ", "mg"),CONCATENATE(Table15[[#This Row],[Nominal Mass]]," ", "g"))</f>
        <v/>
      </c>
      <c r="H26" s="369" t="n">
        <v>0.0001</v>
      </c>
      <c r="I26" s="369" t="n">
        <v>0.13</v>
      </c>
    </row>
    <row r="27">
      <c r="D27" s="369" t="n">
        <v>20</v>
      </c>
      <c r="E27" s="714" t="inlineStr">
        <is>
          <t>HFL</t>
        </is>
      </c>
      <c r="F27" s="714">
        <f>IF(OR(Table15[[#This Row],[Marking]]="",Table15[[#This Row],[Marking]]="*"),CONCATENATE(Table15[[#This Row],[Nominal Mass]]," ",Table15[[#This Row],[Marking]]),Table15[[#This Row],[Marking]])</f>
        <v/>
      </c>
      <c r="G27" s="369">
        <f>IF(OR(Table15[[#This Row],[Marking]]="",Table15[[#This Row],[Marking]]="*"),CONCATENATE(Table15[[#This Row],[Nominal Mass]]," ", "mg"),CONCATENATE(Table15[[#This Row],[Nominal Mass]]," ", "g"))</f>
        <v/>
      </c>
      <c r="H27" s="369" t="n"/>
      <c r="I27" s="369" t="n"/>
    </row>
    <row r="28">
      <c r="D28" s="369" t="n">
        <v>20</v>
      </c>
      <c r="E28" s="714" t="inlineStr">
        <is>
          <t>HFP</t>
        </is>
      </c>
      <c r="F28" s="714">
        <f>IF(OR(Table15[[#This Row],[Marking]]="",Table15[[#This Row],[Marking]]="*"),CONCATENATE(Table15[[#This Row],[Nominal Mass]]," ",Table15[[#This Row],[Marking]]),Table15[[#This Row],[Marking]])</f>
        <v/>
      </c>
      <c r="G28" s="369">
        <f>IF(OR(Table15[[#This Row],[Marking]]="",Table15[[#This Row],[Marking]]="*"),CONCATENATE(Table15[[#This Row],[Nominal Mass]]," ", "mg"),CONCATENATE(Table15[[#This Row],[Nominal Mass]]," ", "g"))</f>
        <v/>
      </c>
      <c r="H28" s="369" t="n">
        <v>0.0001</v>
      </c>
      <c r="I28" s="369" t="n">
        <v>0.09</v>
      </c>
    </row>
    <row r="29">
      <c r="D29" s="369" t="n">
        <v>50</v>
      </c>
      <c r="E29" s="714" t="inlineStr">
        <is>
          <t>FGY</t>
        </is>
      </c>
      <c r="F29" s="714">
        <f>IF(OR(Table15[[#This Row],[Marking]]="",Table15[[#This Row],[Marking]]="*"),CONCATENATE(Table15[[#This Row],[Nominal Mass]]," ",Table15[[#This Row],[Marking]]),Table15[[#This Row],[Marking]])</f>
        <v/>
      </c>
      <c r="G29" s="369">
        <f>IF(OR(Table15[[#This Row],[Marking]]="",Table15[[#This Row],[Marking]]="*"),CONCATENATE(Table15[[#This Row],[Nominal Mass]]," ", "mg"),CONCATENATE(Table15[[#This Row],[Nominal Mass]]," ", "g"))</f>
        <v/>
      </c>
      <c r="H29" s="369" t="n">
        <v>0.0002</v>
      </c>
      <c r="I29" s="369" t="n">
        <v>0.22</v>
      </c>
    </row>
    <row r="30">
      <c r="D30" s="369" t="n">
        <v>100</v>
      </c>
      <c r="E30" s="714" t="inlineStr">
        <is>
          <t>GYQ</t>
        </is>
      </c>
      <c r="F30" s="714">
        <f>IF(OR(Table15[[#This Row],[Marking]]="",Table15[[#This Row],[Marking]]="*"),CONCATENATE(Table15[[#This Row],[Nominal Mass]]," ",Table15[[#This Row],[Marking]]),Table15[[#This Row],[Marking]])</f>
        <v/>
      </c>
      <c r="G30" s="369">
        <f>IF(OR(Table15[[#This Row],[Marking]]="",Table15[[#This Row],[Marking]]="*"),CONCATENATE(Table15[[#This Row],[Nominal Mass]]," ", "mg"),CONCATENATE(Table15[[#This Row],[Nominal Mass]]," ", "g"))</f>
        <v/>
      </c>
      <c r="H30" s="369" t="n">
        <v>0.0001</v>
      </c>
      <c r="I30" s="369" t="n">
        <v>0.37</v>
      </c>
    </row>
    <row r="41">
      <c r="D41" s="714" t="inlineStr">
        <is>
          <t>Mass</t>
        </is>
      </c>
      <c r="E41" s="714" t="inlineStr">
        <is>
          <t>Weight</t>
        </is>
      </c>
      <c r="F41" s="714" t="inlineStr">
        <is>
          <t>Error</t>
        </is>
      </c>
      <c r="G41" s="714" t="inlineStr">
        <is>
          <t>U</t>
        </is>
      </c>
      <c r="J41" s="74" t="inlineStr">
        <is>
          <t xml:space="preserve"> Weight</t>
        </is>
      </c>
      <c r="K41" s="74" t="inlineStr">
        <is>
          <t>Limit</t>
        </is>
      </c>
      <c r="L41" s="74" t="inlineStr">
        <is>
          <t>Balance Reading</t>
        </is>
      </c>
      <c r="M41" s="714" t="inlineStr">
        <is>
          <t>Acceptance</t>
        </is>
      </c>
    </row>
    <row r="42">
      <c r="D42" s="74" t="n"/>
      <c r="E42" s="714">
        <f>IFERROR(IF(OR(INDEX(Table15[],MATCH(Table16[[#This Row],[Mass]],Table15[Code],0),2)="",INDEX(Table15[],MATCH(Table16[[#This Row],[Mass]],Table15[Code],0),2)="*"),(INDEX(Table15[],MATCH(Table16[[#This Row],[Mass]],Table15[Code],0),1)/1000),INDEX(Table15[],MATCH(Table16[[#This Row],[Mass]],Table15[Code],0),1)),"")</f>
        <v/>
      </c>
      <c r="F42" s="369">
        <f>IFERROR(INDEX(Table15[],MATCH(Table16[[#This Row],[Mass]],Table15[Code],0),MATCH(Table16[[#Headers],[Error]],Table15[#Headers],0)),"")</f>
        <v/>
      </c>
      <c r="G42" s="369">
        <f>IFERROR(INDEX(Table15[],MATCH(Table16[[#This Row],[Mass]],Table15[Code],0),MATCH(Table16[[#Headers],[U]],Table15[#Headers],0)),"")</f>
        <v/>
      </c>
      <c r="J42" s="776">
        <f>IFERROR(IF(Dispenser!C13="","",Table16[[#Totals],[Weight]]),"")</f>
        <v/>
      </c>
      <c r="K42" s="776">
        <f>IFERROR(IF(Table17[Balance Reading]="","",IF(Table17[Balance Reading]&lt;=50,"±0.0005",IF(Table17[Balance Reading]&gt;200,"±0.0015","±0.001"))),"")</f>
        <v/>
      </c>
      <c r="L42" s="776">
        <f>IFERROR(IF(ISBLANK(Dispenser!E13),"",Dispenser!E13-Table16[[#Totals],[Error]]),"")</f>
        <v/>
      </c>
      <c r="M42" s="369">
        <f>IFERROR(IF(Table17[[ Weight]]="","",IF(OR(Table17[Balance Reading]&gt;Table16[[#Totals],[Weight]]+RIGHT(Table17[Limit],LEN(Table17[Limit])-1),Table17[Balance Reading]&lt;Table16[[#Totals],[Weight]]-RIGHT(Table17[Limit],LEN(Table17[Limit])-1)),"Rejected","Accepted")),"")</f>
        <v/>
      </c>
    </row>
    <row r="43">
      <c r="D43" s="74" t="n"/>
      <c r="E43" s="369">
        <f>IFERROR(IF(OR(INDEX(Table15[],MATCH(Table16[[#This Row],[Mass]],Table15[Code],0),2)="",INDEX(Table15[],MATCH(Table16[[#This Row],[Mass]],Table15[Code],0),2)="*"),(INDEX(Table15[],MATCH(Table16[[#This Row],[Mass]],Table15[Code],0),1)/1000),INDEX(Table15[],MATCH(Table16[[#This Row],[Mass]],Table15[Code],0),1)),"")</f>
        <v/>
      </c>
      <c r="F43" s="369">
        <f>IFERROR(INDEX(Table15[],MATCH(Table16[[#This Row],[Mass]],Table15[Code],0),MATCH(Table16[[#Headers],[Error]],Table15[#Headers],0)),"")</f>
        <v/>
      </c>
      <c r="G43" s="369">
        <f>IFERROR(INDEX(Table15[],MATCH(Table16[[#This Row],[Mass]],Table15[Code],0),MATCH(Table16[[#Headers],[U]],Table15[#Headers],0)),"")</f>
        <v/>
      </c>
    </row>
    <row r="44">
      <c r="D44" s="74" t="n"/>
      <c r="E44" s="369">
        <f>IFERROR(IF(OR(INDEX(Table15[],MATCH(Table16[[#This Row],[Mass]],Table15[Code],0),2)="",INDEX(Table15[],MATCH(Table16[[#This Row],[Mass]],Table15[Code],0),2)="*"),(INDEX(Table15[],MATCH(Table16[[#This Row],[Mass]],Table15[Code],0),1)/1000),INDEX(Table15[],MATCH(Table16[[#This Row],[Mass]],Table15[Code],0),1)),"")</f>
        <v/>
      </c>
      <c r="F44" s="369">
        <f>IFERROR(INDEX(Table15[],MATCH(Table16[[#This Row],[Mass]],Table15[Code],0),MATCH(Table16[[#Headers],[Error]],Table15[#Headers],0)),"")</f>
        <v/>
      </c>
      <c r="G44" s="369">
        <f>IFERROR(INDEX(Table15[],MATCH(Table16[[#This Row],[Mass]],Table15[Code],0),MATCH(Table16[[#Headers],[U]],Table15[#Headers],0)),"")</f>
        <v/>
      </c>
    </row>
    <row r="45">
      <c r="D45" s="367" t="n"/>
      <c r="E45" s="369">
        <f>IFERROR(IF(OR(INDEX(Table15[],MATCH(Table16[[#This Row],[Mass]],Table15[Code],0),2)="",INDEX(Table15[],MATCH(Table16[[#This Row],[Mass]],Table15[Code],0),2)="*"),(INDEX(Table15[],MATCH(Table16[[#This Row],[Mass]],Table15[Code],0),1)/1000),INDEX(Table15[],MATCH(Table16[[#This Row],[Mass]],Table15[Code],0),1)),"")</f>
        <v/>
      </c>
      <c r="F45" s="369">
        <f>IFERROR(INDEX(Table15[],MATCH(Table16[[#This Row],[Mass]],Table15[Code],0),MATCH(Table16[[#Headers],[Error]],Table15[#Headers],0)),"")</f>
        <v/>
      </c>
      <c r="G45" s="369">
        <f>IFERROR(INDEX(Table15[],MATCH(Table16[[#This Row],[Mass]],Table15[Code],0),MATCH(Table16[[#Headers],[U]],Table15[#Headers],0)),"")</f>
        <v/>
      </c>
    </row>
    <row r="46">
      <c r="D46" s="367" t="n"/>
      <c r="E46" s="369">
        <f>IFERROR(IF(OR(INDEX(Table15[],MATCH(Table16[[#This Row],[Mass]],Table15[Code],0),2)="",INDEX(Table15[],MATCH(Table16[[#This Row],[Mass]],Table15[Code],0),2)="*"),(INDEX(Table15[],MATCH(Table16[[#This Row],[Mass]],Table15[Code],0),1)/1000),INDEX(Table15[],MATCH(Table16[[#This Row],[Mass]],Table15[Code],0),1)),"")</f>
        <v/>
      </c>
      <c r="F46" s="369">
        <f>IFERROR(INDEX(Table15[],MATCH(Table16[[#This Row],[Mass]],Table15[Code],0),MATCH(Table16[[#Headers],[Error]],Table15[#Headers],0)),"")</f>
        <v/>
      </c>
      <c r="G46" s="369">
        <f>IFERROR(INDEX(Table15[],MATCH(Table16[[#This Row],[Mass]],Table15[Code],0),MATCH(Table16[[#Headers],[U]],Table15[#Headers],0)),"")</f>
        <v/>
      </c>
    </row>
    <row r="47">
      <c r="D47" s="367" t="n"/>
      <c r="E47" s="369">
        <f>IFERROR(IF(OR(INDEX(Table15[],MATCH(Table16[[#This Row],[Mass]],Table15[Code],0),2)="",INDEX(Table15[],MATCH(Table16[[#This Row],[Mass]],Table15[Code],0),2)="*"),(INDEX(Table15[],MATCH(Table16[[#This Row],[Mass]],Table15[Code],0),1)/1000),INDEX(Table15[],MATCH(Table16[[#This Row],[Mass]],Table15[Code],0),1)),"")</f>
        <v/>
      </c>
      <c r="F47" s="369">
        <f>IFERROR(INDEX(Table15[],MATCH(Table16[[#This Row],[Mass]],Table15[Code],0),MATCH(Table16[[#Headers],[Error]],Table15[#Headers],0)),"")</f>
        <v/>
      </c>
      <c r="G47" s="369">
        <f>IFERROR(INDEX(Table15[],MATCH(Table16[[#This Row],[Mass]],Table15[Code],0),MATCH(Table16[[#Headers],[U]],Table15[#Headers],0)),"")</f>
        <v/>
      </c>
    </row>
    <row r="48">
      <c r="D48" s="367" t="n"/>
      <c r="E48" s="369">
        <f>IFERROR(IF(OR(INDEX(Table15[],MATCH(Table16[[#This Row],[Mass]],Table15[Code],0),2)="",INDEX(Table15[],MATCH(Table16[[#This Row],[Mass]],Table15[Code],0),2)="*"),(INDEX(Table15[],MATCH(Table16[[#This Row],[Mass]],Table15[Code],0),1)/1000),INDEX(Table15[],MATCH(Table16[[#This Row],[Mass]],Table15[Code],0),1)),"")</f>
        <v/>
      </c>
      <c r="F48" s="369">
        <f>IFERROR(INDEX(Table15[],MATCH(Table16[[#This Row],[Mass]],Table15[Code],0),MATCH(Table16[[#Headers],[Error]],Table15[#Headers],0)),"")</f>
        <v/>
      </c>
      <c r="G48" s="369">
        <f>IFERROR(INDEX(Table15[],MATCH(Table16[[#This Row],[Mass]],Table15[Code],0),MATCH(Table16[[#Headers],[U]],Table15[#Headers],0)),"")</f>
        <v/>
      </c>
    </row>
    <row r="49">
      <c r="D49" s="367" t="n"/>
      <c r="E49" s="369">
        <f>IFERROR(IF(OR(INDEX(Table15[],MATCH(Table16[[#This Row],[Mass]],Table15[Code],0),2)="",INDEX(Table15[],MATCH(Table16[[#This Row],[Mass]],Table15[Code],0),2)="*"),(INDEX(Table15[],MATCH(Table16[[#This Row],[Mass]],Table15[Code],0),1)/1000),INDEX(Table15[],MATCH(Table16[[#This Row],[Mass]],Table15[Code],0),1)),"")</f>
        <v/>
      </c>
      <c r="F49" s="369">
        <f>IFERROR(INDEX(Table15[],MATCH(Table16[[#This Row],[Mass]],Table15[Code],0),MATCH(Table16[[#Headers],[Error]],Table15[#Headers],0)),"")</f>
        <v/>
      </c>
      <c r="G49" s="369">
        <f>IFERROR(INDEX(Table15[],MATCH(Table16[[#This Row],[Mass]],Table15[Code],0),MATCH(Table16[[#Headers],[U]],Table15[#Headers],0)),"")</f>
        <v/>
      </c>
    </row>
    <row r="50">
      <c r="D50" s="367" t="n"/>
      <c r="E50" s="369">
        <f>IFERROR(IF(OR(INDEX(Table15[],MATCH(Table16[[#This Row],[Mass]],Table15[Code],0),2)="",INDEX(Table15[],MATCH(Table16[[#This Row],[Mass]],Table15[Code],0),2)="*"),(INDEX(Table15[],MATCH(Table16[[#This Row],[Mass]],Table15[Code],0),1)/1000),INDEX(Table15[],MATCH(Table16[[#This Row],[Mass]],Table15[Code],0),1)),"")</f>
        <v/>
      </c>
      <c r="F50" s="369">
        <f>IFERROR(INDEX(Table15[],MATCH(Table16[[#This Row],[Mass]],Table15[Code],0),MATCH(Table16[[#Headers],[Error]],Table15[#Headers],0)),"")</f>
        <v/>
      </c>
      <c r="G50" s="369">
        <f>IFERROR(INDEX(Table15[],MATCH(Table16[[#This Row],[Mass]],Table15[Code],0),MATCH(Table16[[#Headers],[U]],Table15[#Headers],0)),"")</f>
        <v/>
      </c>
    </row>
    <row r="51">
      <c r="D51" s="367" t="n"/>
      <c r="E51" s="369">
        <f>IFERROR(IF(OR(INDEX(Table15[],MATCH(Table16[[#This Row],[Mass]],Table15[Code],0),2)="",INDEX(Table15[],MATCH(Table16[[#This Row],[Mass]],Table15[Code],0),2)="*"),(INDEX(Table15[],MATCH(Table16[[#This Row],[Mass]],Table15[Code],0),1)/1000),INDEX(Table15[],MATCH(Table16[[#This Row],[Mass]],Table15[Code],0),1)),"")</f>
        <v/>
      </c>
      <c r="F51" s="369">
        <f>IFERROR(INDEX(Table15[],MATCH(Table16[[#This Row],[Mass]],Table15[Code],0),MATCH(Table16[[#Headers],[Error]],Table15[#Headers],0)),"")</f>
        <v/>
      </c>
      <c r="G51" s="369">
        <f>IFERROR(INDEX(Table15[],MATCH(Table16[[#This Row],[Mass]],Table15[Code],0),MATCH(Table16[[#Headers],[U]],Table15[#Headers],0)),"")</f>
        <v/>
      </c>
    </row>
    <row r="52">
      <c r="D52" s="367" t="n"/>
      <c r="E52" s="369">
        <f>IFERROR(IF(OR(INDEX(Table15[],MATCH(Table16[[#This Row],[Mass]],Table15[Code],0),2)="",INDEX(Table15[],MATCH(Table16[[#This Row],[Mass]],Table15[Code],0),2)="*"),(INDEX(Table15[],MATCH(Table16[[#This Row],[Mass]],Table15[Code],0),1)/1000),INDEX(Table15[],MATCH(Table16[[#This Row],[Mass]],Table15[Code],0),1)),"")</f>
        <v/>
      </c>
      <c r="F52" s="369">
        <f>IFERROR(INDEX(Table15[],MATCH(Table16[[#This Row],[Mass]],Table15[Code],0),MATCH(Table16[[#Headers],[Error]],Table15[#Headers],0)),"")</f>
        <v/>
      </c>
      <c r="G52" s="369">
        <f>IFERROR(INDEX(Table15[],MATCH(Table16[[#This Row],[Mass]],Table15[Code],0),MATCH(Table16[[#Headers],[U]],Table15[#Headers],0)),"")</f>
        <v/>
      </c>
    </row>
    <row r="53">
      <c r="D53" s="369" t="n"/>
      <c r="E53" s="369">
        <f>SUBTOTAL(109,Table16[Weight])</f>
        <v/>
      </c>
      <c r="F53" s="369">
        <f>SUBTOTAL(109,Table16[Error])</f>
        <v/>
      </c>
      <c r="G53" s="582">
        <f>SUBTOTAL(104,Table16[U])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4jtaXMfVGxqf/mFvXWTWbA==" formatRows="1" sort="1" spinCount="100000" hashValue="yVALdovdGVYDqL7pa4CBXKcpoFP46d9ZiPsS8Z/J8WxKckVAhDtYhEElTX5E0HG1q06M15mPacKI4aAeIktK1g=="/>
  <dataValidations count="1">
    <dataValidation sqref="D42:D52" showDropDown="0" showInputMessage="1" showErrorMessage="1" allowBlank="1" type="list">
      <formula1>$F$10:$F$30</formula1>
    </dataValidation>
  </dataValidations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8.xml><?xml version="1.0" encoding="utf-8"?>
<worksheet xmlns="http://schemas.openxmlformats.org/spreadsheetml/2006/main">
  <sheetPr codeName="Sheet19">
    <outlinePr summaryBelow="1" summaryRight="1"/>
    <pageSetUpPr/>
  </sheetPr>
  <dimension ref="A2:G27"/>
  <sheetViews>
    <sheetView rightToLeft="1" workbookViewId="0">
      <selection activeCell="E24" sqref="E24:F27"/>
    </sheetView>
  </sheetViews>
  <sheetFormatPr baseColWidth="8" defaultColWidth="8.88671875" defaultRowHeight="13.2"/>
  <cols>
    <col width="32.6640625" bestFit="1" customWidth="1" style="223" min="1" max="1"/>
    <col width="23.33203125" bestFit="1" customWidth="1" style="223" min="2" max="2"/>
    <col width="43.88671875" bestFit="1" customWidth="1" style="223" min="3" max="3"/>
    <col width="68.44140625" bestFit="1" customWidth="1" style="223" min="4" max="4"/>
    <col width="15.44140625" bestFit="1" customWidth="1" style="223" min="5" max="5"/>
    <col width="19" bestFit="1" customWidth="1" style="223" min="6" max="6"/>
    <col width="31.109375" bestFit="1" customWidth="1" style="223" min="7" max="7"/>
    <col width="8.88671875" customWidth="1" style="223" min="8" max="9"/>
    <col width="8.88671875" customWidth="1" style="223" min="10" max="16384"/>
  </cols>
  <sheetData>
    <row r="2" ht="24.6" customHeight="1">
      <c r="A2" s="323" t="inlineStr">
        <is>
          <t>المرحلة</t>
        </is>
      </c>
      <c r="B2" s="323" t="inlineStr">
        <is>
          <t>الرغوة</t>
        </is>
      </c>
      <c r="C2" s="323" t="inlineStr">
        <is>
          <t>سطح الحوض</t>
        </is>
      </c>
      <c r="D2" s="323" t="inlineStr">
        <is>
          <t>الندف</t>
        </is>
      </c>
      <c r="E2" s="323" t="inlineStr">
        <is>
          <t>عمود الحمأة</t>
        </is>
      </c>
      <c r="F2" s="323" t="inlineStr">
        <is>
          <t xml:space="preserve">صعود الحمأة </t>
        </is>
      </c>
      <c r="G2" s="323" t="inlineStr">
        <is>
          <t xml:space="preserve">صعود الحمأة مرة أخرى </t>
        </is>
      </c>
    </row>
    <row r="3" ht="24.6" customHeight="1">
      <c r="A3" s="323" t="inlineStr">
        <is>
          <t>حوض تهوية رقم  ( 1 )</t>
        </is>
      </c>
      <c r="B3" s="324" t="n"/>
      <c r="C3" s="325" t="n"/>
      <c r="D3" s="325" t="n"/>
      <c r="E3" s="325" t="n"/>
      <c r="F3" s="325" t="n"/>
      <c r="G3" s="325" t="n"/>
    </row>
    <row r="4" ht="24.6" customHeight="1">
      <c r="A4" s="323" t="inlineStr">
        <is>
          <t>حوض تهوية رقم  ( 2 )</t>
        </is>
      </c>
      <c r="B4" s="324" t="n"/>
      <c r="C4" s="325" t="n"/>
      <c r="D4" s="325" t="n"/>
      <c r="E4" s="325" t="n"/>
      <c r="F4" s="325" t="n"/>
      <c r="G4" s="325" t="n"/>
    </row>
    <row r="5" ht="24.6" customHeight="1">
      <c r="A5" s="323" t="inlineStr">
        <is>
          <t>مجمع التهوية</t>
        </is>
      </c>
      <c r="B5" s="325" t="n"/>
      <c r="C5" s="324" t="n"/>
      <c r="D5" s="324" t="n"/>
      <c r="E5" s="325" t="n"/>
      <c r="F5" s="324" t="n"/>
      <c r="G5" s="324" t="n"/>
    </row>
    <row r="6" ht="24.6" customHeight="1">
      <c r="A6" s="323" t="inlineStr">
        <is>
          <t>حوض ترسيب رقم ( 1 )</t>
        </is>
      </c>
      <c r="B6" s="324" t="n"/>
      <c r="C6" s="324" t="n"/>
      <c r="D6" s="325" t="n"/>
      <c r="E6" s="324" t="n"/>
      <c r="F6" s="325" t="n"/>
      <c r="G6" s="325" t="n"/>
    </row>
    <row r="7" ht="24.6" customHeight="1">
      <c r="A7" s="323" t="inlineStr">
        <is>
          <t>حوض ترسيب رقم ( 2 )</t>
        </is>
      </c>
      <c r="B7" s="324" t="n"/>
      <c r="C7" s="324" t="n"/>
      <c r="D7" s="325" t="n"/>
      <c r="E7" s="324" t="n"/>
      <c r="F7" s="325" t="n"/>
      <c r="G7" s="325" t="n"/>
    </row>
    <row r="8" ht="24.6" customHeight="1">
      <c r="A8" s="323" t="inlineStr">
        <is>
          <t>مغلظ الحمأة</t>
        </is>
      </c>
      <c r="B8" s="325" t="n"/>
      <c r="C8" s="324" t="n"/>
      <c r="D8" s="325" t="n"/>
      <c r="E8" s="325" t="n"/>
      <c r="F8" s="325" t="n"/>
      <c r="G8" s="325" t="n"/>
    </row>
    <row r="9" ht="24.6" customHeight="1">
      <c r="A9" s="323" t="inlineStr">
        <is>
          <t>السيب النهائي</t>
        </is>
      </c>
      <c r="B9" s="325" t="n"/>
      <c r="C9" s="324" t="n"/>
      <c r="D9" s="325" t="n"/>
      <c r="E9" s="325" t="n"/>
      <c r="F9" s="325" t="n"/>
      <c r="G9" s="325" t="n"/>
    </row>
    <row r="12">
      <c r="D12" s="280" t="n"/>
      <c r="F12" s="280" t="n"/>
      <c r="G12" s="280" t="n"/>
    </row>
    <row r="13">
      <c r="C13" s="280" t="n"/>
      <c r="D13" s="280" t="n"/>
      <c r="F13" s="326" t="n"/>
      <c r="G13" s="280" t="n"/>
    </row>
    <row r="24">
      <c r="E24" s="638" t="inlineStr">
        <is>
          <t>رجوع</t>
        </is>
      </c>
      <c r="F24" s="534" t="n"/>
    </row>
    <row r="25">
      <c r="E25" s="534" t="n"/>
      <c r="F25" s="534" t="n"/>
    </row>
    <row r="26">
      <c r="E26" s="534" t="n"/>
      <c r="F26" s="534" t="n"/>
    </row>
    <row r="27">
      <c r="E27" s="534" t="n"/>
      <c r="F27" s="53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QXCCIalTeuyG19BuDI2+A==" formatRows="1" sort="1" spinCount="100000" hashValue="2phwK00fNgtow5rmKHWaecK614j6pdLnL/a0/+OW3kW6Bk2R+Lv9PgDM2yPmuPN2GgvwpJDwidnAncGNX1vyJA=="/>
  <mergeCells count="1">
    <mergeCell ref="E24:F27"/>
  </mergeCells>
  <dataValidations count="7">
    <dataValidation sqref="B3:B4" showDropDown="0" showInputMessage="1" showErrorMessage="1" allowBlank="1" type="list">
      <formula1>"بيضاء, بنية خفيفة, بنية شيكولاتية, رمادية, سوداء"</formula1>
    </dataValidation>
    <dataValidation sqref="C8" showDropDown="0" showInputMessage="1" showErrorMessage="1" allowBlank="1" type="list">
      <formula1>"وجود حمأة مغلظة , رائق"</formula1>
    </dataValidation>
    <dataValidation sqref="C9" showDropDown="0" showInputMessage="1" showErrorMessage="1" allowBlank="1" type="list">
      <formula1>"وجود حمأة ميتة,وجود خبث  , رائق"</formula1>
    </dataValidation>
    <dataValidation sqref="B6:B7" showDropDown="0" showInputMessage="1" showErrorMessage="1" allowBlank="1" type="list">
      <formula1>"وجود رغوة بيضاء, لا يوجد"</formula1>
    </dataValidation>
    <dataValidation sqref="D5" showDropDown="0" showInputMessage="1" showErrorMessage="1" allowBlank="1" type="list">
      <formula1>"ترسيب بطئ مع ندف خفيفة رقيقة فى ماء رائق , ترسيب سريع مع ندف في حجم رأس الدبوس في ماء عكر"</formula1>
    </dataValidation>
    <dataValidation sqref="C6:C7" showDropDown="0" showInputMessage="1" showErrorMessage="1" allowBlank="1" type="list">
      <formula1>"حمأة متضخمة, حمأة متضخمة نتيجة بكتيريا خيطية ,حمأة بنية رقيقة,حمأة بنية مع حمأة سوداء, خبث"</formula1>
    </dataValidation>
    <dataValidation sqref="F5:G5" showDropDown="0" showInputMessage="1" showErrorMessage="1" allowBlank="1" type="list">
      <formula1>"قبل ساعتين , أكثر من ساعتين"</formula1>
    </dataValidation>
  </dataValidations>
  <hyperlinks>
    <hyperlink ref="E24" location="Main!A1" display="رجوع"/>
  </hyperlinks>
  <pageMargins left="0.7" right="0.7" top="0.75" bottom="0.75" header="0.3" footer="0.3"/>
  <pageSetup orientation="portrait" horizontalDpi="4294967293" verticalDpi="0"/>
</worksheet>
</file>

<file path=xl/worksheets/sheet19.xml><?xml version="1.0" encoding="utf-8"?>
<worksheet xmlns="http://schemas.openxmlformats.org/spreadsheetml/2006/main">
  <sheetPr codeName="Sheet18">
    <outlinePr summaryBelow="1" summaryRight="1"/>
    <pageSetUpPr fitToPage="1"/>
  </sheetPr>
  <dimension ref="A1:Y206"/>
  <sheetViews>
    <sheetView topLeftCell="C46" zoomScaleNormal="100" workbookViewId="0">
      <selection activeCell="J47" sqref="J47:K50"/>
    </sheetView>
  </sheetViews>
  <sheetFormatPr baseColWidth="8" defaultColWidth="8.88671875" defaultRowHeight="13.2"/>
  <cols>
    <col width="8.88671875" customWidth="1" style="582" min="1" max="23"/>
    <col width="17.5546875" customWidth="1" style="582" min="24" max="24"/>
    <col width="8.88671875" customWidth="1" style="582" min="25" max="26"/>
    <col width="8.88671875" customWidth="1" style="582" min="27" max="16384"/>
  </cols>
  <sheetData>
    <row r="1" ht="14.25" customHeight="1">
      <c r="A1" s="389" t="inlineStr">
        <is>
          <t>This spreadsheet will generate a flux curve given the</t>
        </is>
      </c>
    </row>
    <row r="2" ht="14.25" customHeight="1">
      <c r="A2" s="389" t="inlineStr">
        <is>
          <t>following inputs (insert value in the appropriate cell</t>
        </is>
      </c>
    </row>
    <row r="3" ht="14.25" customHeight="1">
      <c r="A3" s="389" t="inlineStr">
        <is>
          <t xml:space="preserve">between thick lines -- mind your units): </t>
        </is>
      </c>
      <c r="I3" s="178" t="inlineStr">
        <is>
          <t>1 L Graduated Cylinder Without Stirring (SVIGN)</t>
        </is>
      </c>
      <c r="O3" s="365" t="inlineStr">
        <is>
          <t>In place of a tall, narrow graduated cylinder, use a 1 liter beaker.</t>
        </is>
      </c>
    </row>
    <row r="4" ht="13.8" customHeight="1" thickBot="1">
      <c r="C4" s="366" t="n"/>
    </row>
    <row r="5" ht="13.8" customHeight="1" thickTop="1">
      <c r="A5" s="178" t="inlineStr">
        <is>
          <t>SVIGN</t>
        </is>
      </c>
      <c r="C5" s="582">
        <f>Main!I25</f>
        <v/>
      </c>
      <c r="D5" s="582" t="inlineStr">
        <is>
          <t>mL/g</t>
        </is>
      </c>
    </row>
    <row r="6">
      <c r="A6" s="582" t="inlineStr">
        <is>
          <t xml:space="preserve">No. of clarifiers </t>
        </is>
      </c>
      <c r="C6" s="582">
        <f>'BOD5'!D58</f>
        <v/>
      </c>
      <c r="F6" s="582" t="inlineStr">
        <is>
          <t>alpha=</t>
        </is>
      </c>
      <c r="G6" s="582" t="n">
        <v>0.351</v>
      </c>
      <c r="H6" s="582" t="inlineStr">
        <is>
          <t>L/g</t>
        </is>
      </c>
    </row>
    <row r="7" ht="15.6" customHeight="1">
      <c r="A7" s="582" t="inlineStr">
        <is>
          <t xml:space="preserve">Area of each </t>
        </is>
      </c>
      <c r="C7" s="582">
        <f>'BOD5'!B58*10.7639104</f>
        <v/>
      </c>
      <c r="D7" s="582" t="inlineStr">
        <is>
          <t>ft2</t>
        </is>
      </c>
      <c r="F7" s="582" t="inlineStr">
        <is>
          <t>beta=</t>
        </is>
      </c>
      <c r="G7" s="582" t="n">
        <v>0.00058</v>
      </c>
      <c r="H7" s="582" t="inlineStr">
        <is>
          <t>L/mL</t>
        </is>
      </c>
    </row>
    <row r="8">
      <c r="A8" s="582" t="inlineStr">
        <is>
          <t xml:space="preserve">MLSS </t>
        </is>
      </c>
      <c r="C8" s="582">
        <f>Main!E25/1000</f>
        <v/>
      </c>
      <c r="D8" s="582" t="inlineStr">
        <is>
          <t>g/L</t>
        </is>
      </c>
      <c r="F8" s="582" t="inlineStr">
        <is>
          <t>delta=</t>
        </is>
      </c>
      <c r="G8" s="582" t="n">
        <v>0.00602</v>
      </c>
      <c r="H8" s="582" t="inlineStr">
        <is>
          <t>g/mL</t>
        </is>
      </c>
    </row>
    <row r="9">
      <c r="A9" s="582" t="inlineStr">
        <is>
          <t>Inf. flow</t>
        </is>
      </c>
      <c r="C9" s="582">
        <f>'BOD5'!C30*(264.172053/1000000)</f>
        <v/>
      </c>
      <c r="D9" s="582" t="inlineStr">
        <is>
          <t>mgd</t>
        </is>
      </c>
      <c r="F9" s="582" t="inlineStr">
        <is>
          <t>gamma=</t>
        </is>
      </c>
      <c r="G9" s="582" t="n">
        <v>18.2</v>
      </c>
      <c r="H9" s="582" t="inlineStr">
        <is>
          <t>m/h</t>
        </is>
      </c>
    </row>
    <row r="10">
      <c r="A10" s="582" t="inlineStr">
        <is>
          <t xml:space="preserve">RAS flow </t>
        </is>
      </c>
      <c r="C10" s="582">
        <f>'BOD5'!B51*'BOD5'!O38*(264.172053/1000000)</f>
        <v/>
      </c>
      <c r="D10" s="582" t="inlineStr">
        <is>
          <t>mgd</t>
        </is>
      </c>
    </row>
    <row r="11">
      <c r="A11" s="582" t="inlineStr">
        <is>
          <t>Alternate inf. flow</t>
        </is>
      </c>
      <c r="C11" s="582" t="n">
        <v>0</v>
      </c>
      <c r="D11" s="582" t="inlineStr">
        <is>
          <t>mgd</t>
        </is>
      </c>
      <c r="Y11" s="337" t="n"/>
    </row>
    <row r="12" ht="13.8" customHeight="1" thickBot="1">
      <c r="A12" s="582" t="inlineStr">
        <is>
          <t>Alternate RAS flow</t>
        </is>
      </c>
      <c r="C12" s="582" t="n">
        <v>0</v>
      </c>
      <c r="D12" s="582" t="inlineStr">
        <is>
          <t>mgd</t>
        </is>
      </c>
      <c r="Y12" s="337" t="n"/>
    </row>
    <row r="13" ht="13.8" customHeight="1" thickBot="1">
      <c r="T13" s="332" t="inlineStr">
        <is>
          <t>Summary Information</t>
        </is>
      </c>
      <c r="U13" s="333" t="n"/>
      <c r="V13" s="674" t="n"/>
      <c r="W13" s="674" t="n"/>
      <c r="X13" s="675" t="n"/>
    </row>
    <row r="14" ht="15.6" customHeight="1">
      <c r="A14" s="389" t="inlineStr">
        <is>
          <t>Choose desired flux units by</t>
        </is>
      </c>
      <c r="C14" s="582" t="inlineStr">
        <is>
          <t>`</t>
        </is>
      </c>
      <c r="T14" s="334" t="n"/>
      <c r="X14" s="335" t="n"/>
    </row>
    <row r="15" ht="15.6" customHeight="1">
      <c r="A15" s="389" t="inlineStr">
        <is>
          <t xml:space="preserve">placing a "1" in place of </t>
        </is>
      </c>
      <c r="T15" s="336">
        <f>$A$5</f>
        <v/>
      </c>
      <c r="U15" s="337" t="n"/>
      <c r="V15" s="337" t="n"/>
      <c r="W15" s="337">
        <f>$C$5</f>
        <v/>
      </c>
      <c r="X15" s="338" t="inlineStr">
        <is>
          <t>mL/g</t>
        </is>
      </c>
    </row>
    <row r="16" ht="16.2" customHeight="1">
      <c r="A16" s="389" t="inlineStr">
        <is>
          <t>the "0" next to desired units:</t>
        </is>
      </c>
      <c r="T16" s="336" t="inlineStr">
        <is>
          <t>Total Clarifier Surface Area</t>
        </is>
      </c>
      <c r="U16" s="337" t="n"/>
      <c r="V16" s="337" t="n"/>
      <c r="W16" s="337">
        <f>$C$6*$C$7</f>
        <v/>
      </c>
      <c r="X16" s="338" t="inlineStr">
        <is>
          <t>ft2</t>
        </is>
      </c>
    </row>
    <row r="17">
      <c r="T17" s="336" t="inlineStr">
        <is>
          <t>MLSS Concentration</t>
        </is>
      </c>
      <c r="U17" s="337" t="n"/>
      <c r="V17" s="337" t="n"/>
      <c r="W17" s="337">
        <f>$C$8*1000</f>
        <v/>
      </c>
      <c r="X17" s="338" t="inlineStr">
        <is>
          <t>mg/L</t>
        </is>
      </c>
    </row>
    <row r="18" ht="17.4" customHeight="1">
      <c r="A18" s="582" t="inlineStr">
        <is>
          <t>kg/m2h</t>
        </is>
      </c>
      <c r="B18" s="582" t="n">
        <v>1</v>
      </c>
      <c r="F18" s="54" t="n"/>
      <c r="T18" s="336" t="inlineStr">
        <is>
          <t>Influent Flow</t>
        </is>
      </c>
      <c r="U18" s="337" t="n"/>
      <c r="V18" s="337" t="n"/>
      <c r="W18" s="337">
        <f>'BOD5'!C30</f>
        <v/>
      </c>
      <c r="X18" s="373" t="inlineStr">
        <is>
          <t>m3/d</t>
        </is>
      </c>
    </row>
    <row r="19" ht="15.6" customHeight="1">
      <c r="A19" s="582" t="inlineStr">
        <is>
          <t>kg/m2d</t>
        </is>
      </c>
      <c r="B19" s="582" t="n">
        <v>0</v>
      </c>
      <c r="T19" s="336" t="inlineStr">
        <is>
          <t>Surface Overflow Rate</t>
        </is>
      </c>
      <c r="U19" s="337" t="n"/>
      <c r="V19" s="337" t="n"/>
      <c r="W19" s="339">
        <f>IF(W18=0,0,W18/($C$6*'BOD5'!B58))/24</f>
        <v/>
      </c>
      <c r="X19" s="373" t="inlineStr">
        <is>
          <t>m3/m2h</t>
        </is>
      </c>
    </row>
    <row r="20" ht="15.6" customHeight="1">
      <c r="A20" s="582" t="inlineStr">
        <is>
          <t>lb/ft2d</t>
        </is>
      </c>
      <c r="B20" s="582" t="n">
        <v>0</v>
      </c>
      <c r="T20" s="336" t="inlineStr">
        <is>
          <t>RAS Flow</t>
        </is>
      </c>
      <c r="U20" s="337" t="n"/>
      <c r="V20" s="337" t="n"/>
      <c r="W20" s="337">
        <f>$A$197*1000</f>
        <v/>
      </c>
      <c r="X20" s="373" t="inlineStr">
        <is>
          <t>m3/d</t>
        </is>
      </c>
    </row>
    <row r="21">
      <c r="T21" s="336" t="inlineStr">
        <is>
          <t>Applied Solids Loading*</t>
        </is>
      </c>
      <c r="U21" s="337" t="n"/>
      <c r="V21" s="337" t="n"/>
      <c r="W21" s="339">
        <f>$E$196</f>
        <v/>
      </c>
      <c r="X21" s="338">
        <f>IF($B$18=1,$A$18,IF($B$19=1,$A$19,$A$20))</f>
        <v/>
      </c>
    </row>
    <row r="22">
      <c r="T22" s="336" t="inlineStr">
        <is>
          <t>RAS SS Concentration*</t>
        </is>
      </c>
      <c r="U22" s="337" t="n"/>
      <c r="V22" s="337" t="n"/>
      <c r="W22" s="340">
        <f>Main!E26</f>
        <v/>
      </c>
      <c r="X22" s="338" t="inlineStr">
        <is>
          <t>mg/L</t>
        </is>
      </c>
    </row>
    <row r="23">
      <c r="A23" s="582" t="inlineStr">
        <is>
          <t>Influent flow</t>
        </is>
      </c>
      <c r="B23" s="582" t="n">
        <v>3000</v>
      </c>
      <c r="C23" s="582" t="inlineStr">
        <is>
          <t>gpm</t>
        </is>
      </c>
      <c r="T23" s="336" t="inlineStr">
        <is>
          <t>SOUR</t>
        </is>
      </c>
      <c r="U23" s="337" t="n"/>
      <c r="V23" s="337" t="n"/>
      <c r="W23" s="372">
        <f>IFERROR(DO!D47,"")</f>
        <v/>
      </c>
      <c r="X23" s="373">
        <f>CONCATENATE("𝑚𝑔𝑂",_xlfn.UNICHAR(8322),"⁄𝑔𝑀𝐿𝑉𝑆𝑆/ℎ𝑜𝑢𝑟")</f>
        <v/>
      </c>
    </row>
    <row r="24" ht="13.8" customHeight="1" thickBot="1">
      <c r="B24" s="582">
        <f>B23*0.00144</f>
        <v/>
      </c>
      <c r="C24" s="582" t="inlineStr">
        <is>
          <t>mgd</t>
        </is>
      </c>
      <c r="T24" s="341" t="inlineStr">
        <is>
          <t>*Assumes underloaded conditions;check flux curve</t>
        </is>
      </c>
      <c r="U24" s="342" t="n"/>
      <c r="V24" s="342" t="n"/>
      <c r="W24" s="342" t="n"/>
      <c r="X24" s="343" t="n"/>
    </row>
    <row r="25">
      <c r="A25" s="582" t="inlineStr">
        <is>
          <t>Combined RAS flow</t>
        </is>
      </c>
      <c r="B25" s="68" t="n">
        <v>1300</v>
      </c>
      <c r="C25" s="582" t="inlineStr">
        <is>
          <t>gpm</t>
        </is>
      </c>
    </row>
    <row r="26">
      <c r="B26" s="582">
        <f>B25*0.00144</f>
        <v/>
      </c>
      <c r="C26" s="582" t="inlineStr">
        <is>
          <t>mgd</t>
        </is>
      </c>
    </row>
    <row r="40">
      <c r="A40" s="582" t="inlineStr">
        <is>
          <t>X</t>
        </is>
      </c>
      <c r="B40" s="582" t="inlineStr">
        <is>
          <t>G</t>
        </is>
      </c>
    </row>
    <row r="41">
      <c r="A41" s="582" t="inlineStr">
        <is>
          <t>Solids Concentration  (g/L)</t>
        </is>
      </c>
      <c r="B41" s="582">
        <f>IF($B$18=1,"Solids Flux  (kg/m2d)",IF($B$19=1,"Solids Flux  (kg/m2d)","Solids Flux  (lb/ft2d)"))</f>
        <v/>
      </c>
    </row>
    <row r="42">
      <c r="A42" s="582" t="n">
        <v>0</v>
      </c>
      <c r="B42" s="582">
        <f>($B$18+24*$B$19+4.9111739207*$B$20)*A42*$G$9*EXP(-$G$8*$C$5-($G$6+$G$7*$C$5)*A42)</f>
        <v/>
      </c>
    </row>
    <row r="43">
      <c r="A43" s="582" t="n">
        <v>0.1</v>
      </c>
      <c r="B43" s="582">
        <f>($B$18+24*$B$19+4.9111739207*$B$20)*A43*$G$9*EXP(-$G$8*$C$5-($G$6+$G$7*$C$5)*A43)</f>
        <v/>
      </c>
    </row>
    <row r="44">
      <c r="A44" s="582" t="n">
        <v>0.2</v>
      </c>
      <c r="B44" s="582">
        <f>($B$18+24*$B$19+4.9111739207*$B$20)*A44*$G$9*EXP(-$G$8*$C$5-($G$6+$G$7*$C$5)*A44)</f>
        <v/>
      </c>
    </row>
    <row r="45">
      <c r="A45" s="582" t="n">
        <v>0.3</v>
      </c>
      <c r="B45" s="582">
        <f>($B$18+24*$B$19+4.9111739207*$B$20)*A45*$G$9*EXP(-$G$8*$C$5-($G$6+$G$7*$C$5)*A45)</f>
        <v/>
      </c>
    </row>
    <row r="46">
      <c r="A46" s="582" t="n">
        <v>0.4</v>
      </c>
      <c r="B46" s="582">
        <f>($B$18+24*$B$19+4.9111739207*$B$20)*A46*$G$9*EXP(-$G$8*$C$5-($G$6+$G$7*$C$5)*A46)</f>
        <v/>
      </c>
    </row>
    <row r="47">
      <c r="A47" s="582" t="n">
        <v>0.5</v>
      </c>
      <c r="B47" s="582">
        <f>($B$18+24*$B$19+4.9111739207*$B$20)*A47*$G$9*EXP(-$G$8*$C$5-($G$6+$G$7*$C$5)*A47)</f>
        <v/>
      </c>
      <c r="J47" s="707" t="inlineStr">
        <is>
          <t>رجوع</t>
        </is>
      </c>
      <c r="K47" s="534" t="n"/>
    </row>
    <row r="48">
      <c r="A48" s="582" t="n">
        <v>0.6</v>
      </c>
      <c r="B48" s="582">
        <f>($B$18+24*$B$19+4.9111739207*$B$20)*A48*$G$9*EXP(-$G$8*$C$5-($G$6+$G$7*$C$5)*A48)</f>
        <v/>
      </c>
      <c r="J48" s="534" t="n"/>
      <c r="K48" s="534" t="n"/>
    </row>
    <row r="49">
      <c r="A49" s="582" t="n">
        <v>0.7</v>
      </c>
      <c r="B49" s="582">
        <f>($B$18+24*$B$19+4.9111739207*$B$20)*A49*$G$9*EXP(-$G$8*$C$5-($G$6+$G$7*$C$5)*A49)</f>
        <v/>
      </c>
      <c r="J49" s="534" t="n"/>
      <c r="K49" s="534" t="n"/>
    </row>
    <row r="50">
      <c r="A50" s="582" t="n">
        <v>0.8</v>
      </c>
      <c r="B50" s="582">
        <f>($B$18+24*$B$19+4.9111739207*$B$20)*A50*$G$9*EXP(-$G$8*$C$5-($G$6+$G$7*$C$5)*A50)</f>
        <v/>
      </c>
      <c r="J50" s="534" t="n"/>
      <c r="K50" s="534" t="n"/>
    </row>
    <row r="51">
      <c r="A51" s="582" t="n">
        <v>0.9</v>
      </c>
      <c r="B51" s="582">
        <f>($B$18+24*$B$19+4.9111739207*$B$20)*A51*$G$9*EXP(-$G$8*$C$5-($G$6+$G$7*$C$5)*A51)</f>
        <v/>
      </c>
    </row>
    <row r="52">
      <c r="A52" s="582" t="n">
        <v>1</v>
      </c>
      <c r="B52" s="582">
        <f>($B$18+24*$B$19+4.9111739207*$B$20)*A52*$G$9*EXP(-$G$8*$C$5-($G$6+$G$7*$C$5)*A52)</f>
        <v/>
      </c>
    </row>
    <row r="53">
      <c r="A53" s="582" t="n">
        <v>1.1</v>
      </c>
      <c r="B53" s="582">
        <f>($B$18+24*$B$19+4.9111739207*$B$20)*A53*$G$9*EXP(-$G$8*$C$5-($G$6+$G$7*$C$5)*A53)</f>
        <v/>
      </c>
    </row>
    <row r="54">
      <c r="A54" s="582" t="n">
        <v>1.2</v>
      </c>
      <c r="B54" s="582">
        <f>($B$18+24*$B$19+4.9111739207*$B$20)*A54*$G$9*EXP(-$G$8*$C$5-($G$6+$G$7*$C$5)*A54)</f>
        <v/>
      </c>
    </row>
    <row r="55">
      <c r="A55" s="582" t="n">
        <v>1.3</v>
      </c>
      <c r="B55" s="582">
        <f>($B$18+24*$B$19+4.9111739207*$B$20)*A55*$G$9*EXP(-$G$8*$C$5-($G$6+$G$7*$C$5)*A55)</f>
        <v/>
      </c>
    </row>
    <row r="56">
      <c r="A56" s="582" t="n">
        <v>1.4</v>
      </c>
      <c r="B56" s="582">
        <f>($B$18+24*$B$19+4.9111739207*$B$20)*A56*$G$9*EXP(-$G$8*$C$5-($G$6+$G$7*$C$5)*A56)</f>
        <v/>
      </c>
    </row>
    <row r="57">
      <c r="A57" s="582" t="n">
        <v>1.5</v>
      </c>
      <c r="B57" s="582">
        <f>($B$18+24*$B$19+4.9111739207*$B$20)*A57*$G$9*EXP(-$G$8*$C$5-($G$6+$G$7*$C$5)*A57)</f>
        <v/>
      </c>
    </row>
    <row r="58">
      <c r="A58" s="582" t="n">
        <v>1.6</v>
      </c>
      <c r="B58" s="582">
        <f>($B$18+24*$B$19+4.9111739207*$B$20)*A58*$G$9*EXP(-$G$8*$C$5-($G$6+$G$7*$C$5)*A58)</f>
        <v/>
      </c>
    </row>
    <row r="59">
      <c r="A59" s="582" t="n">
        <v>1.7</v>
      </c>
      <c r="B59" s="582">
        <f>($B$18+24*$B$19+4.9111739207*$B$20)*A59*$G$9*EXP(-$G$8*$C$5-($G$6+$G$7*$C$5)*A59)</f>
        <v/>
      </c>
    </row>
    <row r="60">
      <c r="A60" s="582" t="n">
        <v>1.8</v>
      </c>
      <c r="B60" s="582">
        <f>($B$18+24*$B$19+4.9111739207*$B$20)*A60*$G$9*EXP(-$G$8*$C$5-($G$6+$G$7*$C$5)*A60)</f>
        <v/>
      </c>
    </row>
    <row r="61">
      <c r="A61" s="582" t="n">
        <v>1.9</v>
      </c>
      <c r="B61" s="582">
        <f>($B$18+24*$B$19+4.9111739207*$B$20)*A61*$G$9*EXP(-$G$8*$C$5-($G$6+$G$7*$C$5)*A61)</f>
        <v/>
      </c>
    </row>
    <row r="62">
      <c r="A62" s="582" t="n">
        <v>2</v>
      </c>
      <c r="B62" s="582">
        <f>($B$18+24*$B$19+4.9111739207*$B$20)*A62*$G$9*EXP(-$G$8*$C$5-($G$6+$G$7*$C$5)*A62)</f>
        <v/>
      </c>
    </row>
    <row r="63">
      <c r="A63" s="582" t="n">
        <v>2.1</v>
      </c>
      <c r="B63" s="582">
        <f>($B$18+24*$B$19+4.9111739207*$B$20)*A63*$G$9*EXP(-$G$8*$C$5-($G$6+$G$7*$C$5)*A63)</f>
        <v/>
      </c>
    </row>
    <row r="64">
      <c r="A64" s="582" t="n">
        <v>2.2</v>
      </c>
      <c r="B64" s="582">
        <f>($B$18+24*$B$19+4.9111739207*$B$20)*A64*$G$9*EXP(-$G$8*$C$5-($G$6+$G$7*$C$5)*A64)</f>
        <v/>
      </c>
    </row>
    <row r="65">
      <c r="A65" s="582" t="n">
        <v>2.3</v>
      </c>
      <c r="B65" s="582">
        <f>($B$18+24*$B$19+4.9111739207*$B$20)*A65*$G$9*EXP(-$G$8*$C$5-($G$6+$G$7*$C$5)*A65)</f>
        <v/>
      </c>
    </row>
    <row r="66">
      <c r="A66" s="582" t="n">
        <v>2.4</v>
      </c>
      <c r="B66" s="582">
        <f>($B$18+24*$B$19+4.9111739207*$B$20)*A66*$G$9*EXP(-$G$8*$C$5-($G$6+$G$7*$C$5)*A66)</f>
        <v/>
      </c>
    </row>
    <row r="67">
      <c r="A67" s="582" t="n">
        <v>2.5</v>
      </c>
      <c r="B67" s="582">
        <f>($B$18+24*$B$19+4.9111739207*$B$20)*A67*$G$9*EXP(-$G$8*$C$5-($G$6+$G$7*$C$5)*A67)</f>
        <v/>
      </c>
    </row>
    <row r="68">
      <c r="A68" s="582" t="n">
        <v>2.6</v>
      </c>
      <c r="B68" s="582">
        <f>($B$18+24*$B$19+4.9111739207*$B$20)*A68*$G$9*EXP(-$G$8*$C$5-($G$6+$G$7*$C$5)*A68)</f>
        <v/>
      </c>
    </row>
    <row r="69">
      <c r="A69" s="582" t="n">
        <v>2.7</v>
      </c>
      <c r="B69" s="582">
        <f>($B$18+24*$B$19+4.9111739207*$B$20)*A69*$G$9*EXP(-$G$8*$C$5-($G$6+$G$7*$C$5)*A69)</f>
        <v/>
      </c>
    </row>
    <row r="70">
      <c r="A70" s="582" t="n">
        <v>2.8</v>
      </c>
      <c r="B70" s="582">
        <f>($B$18+24*$B$19+4.9111739207*$B$20)*A70*$G$9*EXP(-$G$8*$C$5-($G$6+$G$7*$C$5)*A70)</f>
        <v/>
      </c>
    </row>
    <row r="71">
      <c r="A71" s="582" t="n">
        <v>2.9</v>
      </c>
      <c r="B71" s="582">
        <f>($B$18+24*$B$19+4.9111739207*$B$20)*A71*$G$9*EXP(-$G$8*$C$5-($G$6+$G$7*$C$5)*A71)</f>
        <v/>
      </c>
    </row>
    <row r="72">
      <c r="A72" s="582" t="n">
        <v>3</v>
      </c>
      <c r="B72" s="582">
        <f>($B$18+24*$B$19+4.9111739207*$B$20)*A72*$G$9*EXP(-$G$8*$C$5-($G$6+$G$7*$C$5)*A72)</f>
        <v/>
      </c>
    </row>
    <row r="73">
      <c r="A73" s="582" t="n">
        <v>3.1</v>
      </c>
      <c r="B73" s="582">
        <f>($B$18+24*$B$19+4.9111739207*$B$20)*A73*$G$9*EXP(-$G$8*$C$5-($G$6+$G$7*$C$5)*A73)</f>
        <v/>
      </c>
    </row>
    <row r="74">
      <c r="A74" s="582" t="n">
        <v>3.2</v>
      </c>
      <c r="B74" s="582">
        <f>($B$18+24*$B$19+4.9111739207*$B$20)*A74*$G$9*EXP(-$G$8*$C$5-($G$6+$G$7*$C$5)*A74)</f>
        <v/>
      </c>
    </row>
    <row r="75">
      <c r="A75" s="582" t="n">
        <v>3.3</v>
      </c>
      <c r="B75" s="582">
        <f>($B$18+24*$B$19+4.9111739207*$B$20)*A75*$G$9*EXP(-$G$8*$C$5-($G$6+$G$7*$C$5)*A75)</f>
        <v/>
      </c>
    </row>
    <row r="76">
      <c r="A76" s="582" t="n">
        <v>3.4</v>
      </c>
      <c r="B76" s="582">
        <f>($B$18+24*$B$19+4.9111739207*$B$20)*A76*$G$9*EXP(-$G$8*$C$5-($G$6+$G$7*$C$5)*A76)</f>
        <v/>
      </c>
    </row>
    <row r="77">
      <c r="A77" s="582" t="n">
        <v>3.5</v>
      </c>
      <c r="B77" s="582">
        <f>($B$18+24*$B$19+4.9111739207*$B$20)*A77*$G$9*EXP(-$G$8*$C$5-($G$6+$G$7*$C$5)*A77)</f>
        <v/>
      </c>
    </row>
    <row r="78">
      <c r="A78" s="582" t="n">
        <v>3.6</v>
      </c>
      <c r="B78" s="582">
        <f>($B$18+24*$B$19+4.9111739207*$B$20)*A78*$G$9*EXP(-$G$8*$C$5-($G$6+$G$7*$C$5)*A78)</f>
        <v/>
      </c>
    </row>
    <row r="79">
      <c r="A79" s="582" t="n">
        <v>3.7</v>
      </c>
      <c r="B79" s="582">
        <f>($B$18+24*$B$19+4.9111739207*$B$20)*A79*$G$9*EXP(-$G$8*$C$5-($G$6+$G$7*$C$5)*A79)</f>
        <v/>
      </c>
    </row>
    <row r="80">
      <c r="A80" s="582" t="n">
        <v>3.8</v>
      </c>
      <c r="B80" s="582">
        <f>($B$18+24*$B$19+4.9111739207*$B$20)*A80*$G$9*EXP(-$G$8*$C$5-($G$6+$G$7*$C$5)*A80)</f>
        <v/>
      </c>
    </row>
    <row r="81">
      <c r="A81" s="582" t="n">
        <v>3.9</v>
      </c>
      <c r="B81" s="582">
        <f>($B$18+24*$B$19+4.9111739207*$B$20)*A81*$G$9*EXP(-$G$8*$C$5-($G$6+$G$7*$C$5)*A81)</f>
        <v/>
      </c>
    </row>
    <row r="82">
      <c r="A82" s="582" t="n">
        <v>4</v>
      </c>
      <c r="B82" s="582">
        <f>($B$18+24*$B$19+4.9111739207*$B$20)*A82*$G$9*EXP(-$G$8*$C$5-($G$6+$G$7*$C$5)*A82)</f>
        <v/>
      </c>
    </row>
    <row r="83">
      <c r="A83" s="582" t="n">
        <v>4.1</v>
      </c>
      <c r="B83" s="582">
        <f>($B$18+24*$B$19+4.9111739207*$B$20)*A83*$G$9*EXP(-$G$8*$C$5-($G$6+$G$7*$C$5)*A83)</f>
        <v/>
      </c>
    </row>
    <row r="84">
      <c r="A84" s="582" t="n">
        <v>4.2</v>
      </c>
      <c r="B84" s="582">
        <f>($B$18+24*$B$19+4.9111739207*$B$20)*A84*$G$9*EXP(-$G$8*$C$5-($G$6+$G$7*$C$5)*A84)</f>
        <v/>
      </c>
    </row>
    <row r="85">
      <c r="A85" s="582" t="n">
        <v>4.3</v>
      </c>
      <c r="B85" s="582">
        <f>($B$18+24*$B$19+4.9111739207*$B$20)*A85*$G$9*EXP(-$G$8*$C$5-($G$6+$G$7*$C$5)*A85)</f>
        <v/>
      </c>
    </row>
    <row r="86">
      <c r="A86" s="582" t="n">
        <v>4.4</v>
      </c>
      <c r="B86" s="582">
        <f>($B$18+24*$B$19+4.9111739207*$B$20)*A86*$G$9*EXP(-$G$8*$C$5-($G$6+$G$7*$C$5)*A86)</f>
        <v/>
      </c>
    </row>
    <row r="87">
      <c r="A87" s="582" t="n">
        <v>4.5</v>
      </c>
      <c r="B87" s="582">
        <f>($B$18+24*$B$19+4.9111739207*$B$20)*A87*$G$9*EXP(-$G$8*$C$5-($G$6+$G$7*$C$5)*A87)</f>
        <v/>
      </c>
    </row>
    <row r="88">
      <c r="A88" s="582" t="n">
        <v>4.6</v>
      </c>
      <c r="B88" s="582">
        <f>($B$18+24*$B$19+4.9111739207*$B$20)*A88*$G$9*EXP(-$G$8*$C$5-($G$6+$G$7*$C$5)*A88)</f>
        <v/>
      </c>
    </row>
    <row r="89">
      <c r="A89" s="582" t="n">
        <v>4.7</v>
      </c>
      <c r="B89" s="582">
        <f>($B$18+24*$B$19+4.9111739207*$B$20)*A89*$G$9*EXP(-$G$8*$C$5-($G$6+$G$7*$C$5)*A89)</f>
        <v/>
      </c>
    </row>
    <row r="90">
      <c r="A90" s="582" t="n">
        <v>4.8</v>
      </c>
      <c r="B90" s="582">
        <f>($B$18+24*$B$19+4.9111739207*$B$20)*A90*$G$9*EXP(-$G$8*$C$5-($G$6+$G$7*$C$5)*A90)</f>
        <v/>
      </c>
    </row>
    <row r="91">
      <c r="A91" s="582" t="n">
        <v>4.9</v>
      </c>
      <c r="B91" s="582">
        <f>($B$18+24*$B$19+4.9111739207*$B$20)*A91*$G$9*EXP(-$G$8*$C$5-($G$6+$G$7*$C$5)*A91)</f>
        <v/>
      </c>
    </row>
    <row r="92">
      <c r="A92" s="582" t="n">
        <v>5</v>
      </c>
      <c r="B92" s="582">
        <f>($B$18+24*$B$19+4.9111739207*$B$20)*A92*$G$9*EXP(-$G$8*$C$5-($G$6+$G$7*$C$5)*A92)</f>
        <v/>
      </c>
    </row>
    <row r="93">
      <c r="A93" s="582" t="n">
        <v>5.1</v>
      </c>
      <c r="B93" s="582">
        <f>($B$18+24*$B$19+4.9111739207*$B$20)*A93*$G$9*EXP(-$G$8*$C$5-($G$6+$G$7*$C$5)*A93)</f>
        <v/>
      </c>
    </row>
    <row r="94">
      <c r="A94" s="582" t="n">
        <v>5.2</v>
      </c>
      <c r="B94" s="582">
        <f>($B$18+24*$B$19+4.9111739207*$B$20)*A94*$G$9*EXP(-$G$8*$C$5-($G$6+$G$7*$C$5)*A94)</f>
        <v/>
      </c>
    </row>
    <row r="95">
      <c r="A95" s="582" t="n">
        <v>5.3</v>
      </c>
      <c r="B95" s="582">
        <f>($B$18+24*$B$19+4.9111739207*$B$20)*A95*$G$9*EXP(-$G$8*$C$5-($G$6+$G$7*$C$5)*A95)</f>
        <v/>
      </c>
    </row>
    <row r="96">
      <c r="A96" s="582" t="n">
        <v>5.4</v>
      </c>
      <c r="B96" s="582">
        <f>($B$18+24*$B$19+4.9111739207*$B$20)*A96*$G$9*EXP(-$G$8*$C$5-($G$6+$G$7*$C$5)*A96)</f>
        <v/>
      </c>
    </row>
    <row r="97">
      <c r="A97" s="582" t="n">
        <v>5.5</v>
      </c>
      <c r="B97" s="582">
        <f>($B$18+24*$B$19+4.9111739207*$B$20)*A97*$G$9*EXP(-$G$8*$C$5-($G$6+$G$7*$C$5)*A97)</f>
        <v/>
      </c>
    </row>
    <row r="98">
      <c r="A98" s="582" t="n">
        <v>5.6</v>
      </c>
      <c r="B98" s="582">
        <f>($B$18+24*$B$19+4.9111739207*$B$20)*A98*$G$9*EXP(-$G$8*$C$5-($G$6+$G$7*$C$5)*A98)</f>
        <v/>
      </c>
    </row>
    <row r="99">
      <c r="A99" s="582" t="n">
        <v>5.7</v>
      </c>
      <c r="B99" s="582">
        <f>($B$18+24*$B$19+4.9111739207*$B$20)*A99*$G$9*EXP(-$G$8*$C$5-($G$6+$G$7*$C$5)*A99)</f>
        <v/>
      </c>
    </row>
    <row r="100">
      <c r="A100" s="582" t="n">
        <v>5.8</v>
      </c>
      <c r="B100" s="582">
        <f>($B$18+24*$B$19+4.9111739207*$B$20)*A100*$G$9*EXP(-$G$8*$C$5-($G$6+$G$7*$C$5)*A100)</f>
        <v/>
      </c>
    </row>
    <row r="101">
      <c r="A101" s="582" t="n">
        <v>5.9</v>
      </c>
      <c r="B101" s="582">
        <f>($B$18+24*$B$19+4.9111739207*$B$20)*A101*$G$9*EXP(-$G$8*$C$5-($G$6+$G$7*$C$5)*A101)</f>
        <v/>
      </c>
    </row>
    <row r="102">
      <c r="A102" s="582" t="n">
        <v>6</v>
      </c>
      <c r="B102" s="582">
        <f>($B$18+24*$B$19+4.9111739207*$B$20)*A102*$G$9*EXP(-$G$8*$C$5-($G$6+$G$7*$C$5)*A102)</f>
        <v/>
      </c>
    </row>
    <row r="103">
      <c r="A103" s="582" t="n">
        <v>6.1</v>
      </c>
      <c r="B103" s="582">
        <f>($B$18+24*$B$19+4.9111739207*$B$20)*A103*$G$9*EXP(-$G$8*$C$5-($G$6+$G$7*$C$5)*A103)</f>
        <v/>
      </c>
    </row>
    <row r="104">
      <c r="A104" s="582" t="n">
        <v>6.2</v>
      </c>
      <c r="B104" s="582">
        <f>($B$18+24*$B$19+4.9111739207*$B$20)*A104*$G$9*EXP(-$G$8*$C$5-($G$6+$G$7*$C$5)*A104)</f>
        <v/>
      </c>
    </row>
    <row r="105">
      <c r="A105" s="582" t="n">
        <v>6.3</v>
      </c>
      <c r="B105" s="582">
        <f>($B$18+24*$B$19+4.9111739207*$B$20)*A105*$G$9*EXP(-$G$8*$C$5-($G$6+$G$7*$C$5)*A105)</f>
        <v/>
      </c>
    </row>
    <row r="106">
      <c r="A106" s="582" t="n">
        <v>6.4</v>
      </c>
      <c r="B106" s="582">
        <f>($B$18+24*$B$19+4.9111739207*$B$20)*A106*$G$9*EXP(-$G$8*$C$5-($G$6+$G$7*$C$5)*A106)</f>
        <v/>
      </c>
    </row>
    <row r="107">
      <c r="A107" s="582" t="n">
        <v>6.5</v>
      </c>
      <c r="B107" s="582">
        <f>($B$18+24*$B$19+4.9111739207*$B$20)*A107*$G$9*EXP(-$G$8*$C$5-($G$6+$G$7*$C$5)*A107)</f>
        <v/>
      </c>
    </row>
    <row r="108">
      <c r="A108" s="582" t="n">
        <v>6.6</v>
      </c>
      <c r="B108" s="582">
        <f>($B$18+24*$B$19+4.9111739207*$B$20)*A108*$G$9*EXP(-$G$8*$C$5-($G$6+$G$7*$C$5)*A108)</f>
        <v/>
      </c>
    </row>
    <row r="109">
      <c r="A109" s="582" t="n">
        <v>6.7</v>
      </c>
      <c r="B109" s="582">
        <f>($B$18+24*$B$19+4.9111739207*$B$20)*A109*$G$9*EXP(-$G$8*$C$5-($G$6+$G$7*$C$5)*A109)</f>
        <v/>
      </c>
    </row>
    <row r="110">
      <c r="A110" s="582" t="n">
        <v>6.8</v>
      </c>
      <c r="B110" s="582">
        <f>($B$18+24*$B$19+4.9111739207*$B$20)*A110*$G$9*EXP(-$G$8*$C$5-($G$6+$G$7*$C$5)*A110)</f>
        <v/>
      </c>
    </row>
    <row r="111">
      <c r="A111" s="582" t="n">
        <v>6.9</v>
      </c>
      <c r="B111" s="582">
        <f>($B$18+24*$B$19+4.9111739207*$B$20)*A111*$G$9*EXP(-$G$8*$C$5-($G$6+$G$7*$C$5)*A111)</f>
        <v/>
      </c>
    </row>
    <row r="112">
      <c r="A112" s="582" t="n">
        <v>7</v>
      </c>
      <c r="B112" s="582">
        <f>($B$18+24*$B$19+4.9111739207*$B$20)*A112*$G$9*EXP(-$G$8*$C$5-($G$6+$G$7*$C$5)*A112)</f>
        <v/>
      </c>
    </row>
    <row r="113">
      <c r="A113" s="582" t="n">
        <v>7.1</v>
      </c>
      <c r="B113" s="582">
        <f>($B$18+24*$B$19+4.9111739207*$B$20)*A113*$G$9*EXP(-$G$8*$C$5-($G$6+$G$7*$C$5)*A113)</f>
        <v/>
      </c>
    </row>
    <row r="114">
      <c r="A114" s="582" t="n">
        <v>7.2</v>
      </c>
      <c r="B114" s="582">
        <f>($B$18+24*$B$19+4.9111739207*$B$20)*A114*$G$9*EXP(-$G$8*$C$5-($G$6+$G$7*$C$5)*A114)</f>
        <v/>
      </c>
    </row>
    <row r="115">
      <c r="A115" s="582" t="n">
        <v>7.3</v>
      </c>
      <c r="B115" s="582">
        <f>($B$18+24*$B$19+4.9111739207*$B$20)*A115*$G$9*EXP(-$G$8*$C$5-($G$6+$G$7*$C$5)*A115)</f>
        <v/>
      </c>
    </row>
    <row r="116">
      <c r="A116" s="582" t="n">
        <v>7.4</v>
      </c>
      <c r="B116" s="582">
        <f>($B$18+24*$B$19+4.9111739207*$B$20)*A116*$G$9*EXP(-$G$8*$C$5-($G$6+$G$7*$C$5)*A116)</f>
        <v/>
      </c>
    </row>
    <row r="117">
      <c r="A117" s="582" t="n">
        <v>7.5</v>
      </c>
      <c r="B117" s="582">
        <f>($B$18+24*$B$19+4.9111739207*$B$20)*A117*$G$9*EXP(-$G$8*$C$5-($G$6+$G$7*$C$5)*A117)</f>
        <v/>
      </c>
    </row>
    <row r="118">
      <c r="A118" s="582" t="n">
        <v>7.6</v>
      </c>
      <c r="B118" s="582">
        <f>($B$18+24*$B$19+4.9111739207*$B$20)*A118*$G$9*EXP(-$G$8*$C$5-($G$6+$G$7*$C$5)*A118)</f>
        <v/>
      </c>
    </row>
    <row r="119">
      <c r="A119" s="582" t="n">
        <v>7.7</v>
      </c>
      <c r="B119" s="582">
        <f>($B$18+24*$B$19+4.9111739207*$B$20)*A119*$G$9*EXP(-$G$8*$C$5-($G$6+$G$7*$C$5)*A119)</f>
        <v/>
      </c>
    </row>
    <row r="120">
      <c r="A120" s="582" t="n">
        <v>7.8</v>
      </c>
      <c r="B120" s="582">
        <f>($B$18+24*$B$19+4.9111739207*$B$20)*A120*$G$9*EXP(-$G$8*$C$5-($G$6+$G$7*$C$5)*A120)</f>
        <v/>
      </c>
    </row>
    <row r="121">
      <c r="A121" s="582" t="n">
        <v>7.9</v>
      </c>
      <c r="B121" s="582">
        <f>($B$18+24*$B$19+4.9111739207*$B$20)*A121*$G$9*EXP(-$G$8*$C$5-($G$6+$G$7*$C$5)*A121)</f>
        <v/>
      </c>
    </row>
    <row r="122">
      <c r="A122" s="582" t="n">
        <v>8</v>
      </c>
      <c r="B122" s="582">
        <f>($B$18+24*$B$19+4.9111739207*$B$20)*A122*$G$9*EXP(-$G$8*$C$5-($G$6+$G$7*$C$5)*A122)</f>
        <v/>
      </c>
    </row>
    <row r="123">
      <c r="A123" s="582" t="n">
        <v>8.1</v>
      </c>
      <c r="B123" s="582">
        <f>($B$18+24*$B$19+4.9111739207*$B$20)*A123*$G$9*EXP(-$G$8*$C$5-($G$6+$G$7*$C$5)*A123)</f>
        <v/>
      </c>
    </row>
    <row r="124">
      <c r="A124" s="582" t="n">
        <v>8.199999999999999</v>
      </c>
      <c r="B124" s="582">
        <f>($B$18+24*$B$19+4.9111739207*$B$20)*A124*$G$9*EXP(-$G$8*$C$5-($G$6+$G$7*$C$5)*A124)</f>
        <v/>
      </c>
    </row>
    <row r="125">
      <c r="A125" s="582" t="n">
        <v>8.300000000000001</v>
      </c>
      <c r="B125" s="582">
        <f>($B$18+24*$B$19+4.9111739207*$B$20)*A125*$G$9*EXP(-$G$8*$C$5-($G$6+$G$7*$C$5)*A125)</f>
        <v/>
      </c>
    </row>
    <row r="126">
      <c r="A126" s="582" t="n">
        <v>8.4</v>
      </c>
      <c r="B126" s="582">
        <f>($B$18+24*$B$19+4.9111739207*$B$20)*A126*$G$9*EXP(-$G$8*$C$5-($G$6+$G$7*$C$5)*A126)</f>
        <v/>
      </c>
    </row>
    <row r="127">
      <c r="A127" s="582" t="n">
        <v>8.5</v>
      </c>
      <c r="B127" s="582">
        <f>($B$18+24*$B$19+4.9111739207*$B$20)*A127*$G$9*EXP(-$G$8*$C$5-($G$6+$G$7*$C$5)*A127)</f>
        <v/>
      </c>
    </row>
    <row r="128">
      <c r="A128" s="582" t="n">
        <v>8.6</v>
      </c>
      <c r="B128" s="582">
        <f>($B$18+24*$B$19+4.9111739207*$B$20)*A128*$G$9*EXP(-$G$8*$C$5-($G$6+$G$7*$C$5)*A128)</f>
        <v/>
      </c>
    </row>
    <row r="129">
      <c r="A129" s="582" t="n">
        <v>8.699999999999999</v>
      </c>
      <c r="B129" s="582">
        <f>($B$18+24*$B$19+4.9111739207*$B$20)*A129*$G$9*EXP(-$G$8*$C$5-($G$6+$G$7*$C$5)*A129)</f>
        <v/>
      </c>
    </row>
    <row r="130">
      <c r="A130" s="582" t="n">
        <v>8.800000000000001</v>
      </c>
      <c r="B130" s="582">
        <f>($B$18+24*$B$19+4.9111739207*$B$20)*A130*$G$9*EXP(-$G$8*$C$5-($G$6+$G$7*$C$5)*A130)</f>
        <v/>
      </c>
    </row>
    <row r="131">
      <c r="A131" s="582" t="n">
        <v>8.9</v>
      </c>
      <c r="B131" s="582">
        <f>($B$18+24*$B$19+4.9111739207*$B$20)*A131*$G$9*EXP(-$G$8*$C$5-($G$6+$G$7*$C$5)*A131)</f>
        <v/>
      </c>
    </row>
    <row r="132">
      <c r="A132" s="582" t="n">
        <v>9</v>
      </c>
      <c r="B132" s="582">
        <f>($B$18+24*$B$19+4.9111739207*$B$20)*A132*$G$9*EXP(-$G$8*$C$5-($G$6+$G$7*$C$5)*A132)</f>
        <v/>
      </c>
    </row>
    <row r="133">
      <c r="A133" s="582" t="n">
        <v>9.1</v>
      </c>
      <c r="B133" s="582">
        <f>($B$18+24*$B$19+4.9111739207*$B$20)*A133*$G$9*EXP(-$G$8*$C$5-($G$6+$G$7*$C$5)*A133)</f>
        <v/>
      </c>
    </row>
    <row r="134">
      <c r="A134" s="582" t="n">
        <v>9.199999999999999</v>
      </c>
      <c r="B134" s="582">
        <f>($B$18+24*$B$19+4.9111739207*$B$20)*A134*$G$9*EXP(-$G$8*$C$5-($G$6+$G$7*$C$5)*A134)</f>
        <v/>
      </c>
    </row>
    <row r="135">
      <c r="A135" s="582" t="n">
        <v>9.300000000000001</v>
      </c>
      <c r="B135" s="582">
        <f>($B$18+24*$B$19+4.9111739207*$B$20)*A135*$G$9*EXP(-$G$8*$C$5-($G$6+$G$7*$C$5)*A135)</f>
        <v/>
      </c>
    </row>
    <row r="136">
      <c r="A136" s="582" t="n">
        <v>9.4</v>
      </c>
      <c r="B136" s="582">
        <f>($B$18+24*$B$19+4.9111739207*$B$20)*A136*$G$9*EXP(-$G$8*$C$5-($G$6+$G$7*$C$5)*A136)</f>
        <v/>
      </c>
    </row>
    <row r="137">
      <c r="A137" s="582" t="n">
        <v>9.5</v>
      </c>
      <c r="B137" s="582">
        <f>($B$18+24*$B$19+4.9111739207*$B$20)*A137*$G$9*EXP(-$G$8*$C$5-($G$6+$G$7*$C$5)*A137)</f>
        <v/>
      </c>
    </row>
    <row r="138">
      <c r="A138" s="582" t="n">
        <v>9.6</v>
      </c>
      <c r="B138" s="582">
        <f>($B$18+24*$B$19+4.9111739207*$B$20)*A138*$G$9*EXP(-$G$8*$C$5-($G$6+$G$7*$C$5)*A138)</f>
        <v/>
      </c>
    </row>
    <row r="139">
      <c r="A139" s="582" t="n">
        <v>9.699999999999999</v>
      </c>
      <c r="B139" s="582">
        <f>($B$18+24*$B$19+4.9111739207*$B$20)*A139*$G$9*EXP(-$G$8*$C$5-($G$6+$G$7*$C$5)*A139)</f>
        <v/>
      </c>
    </row>
    <row r="140">
      <c r="A140" s="582" t="n">
        <v>9.800000000000001</v>
      </c>
      <c r="B140" s="582">
        <f>($B$18+24*$B$19+4.9111739207*$B$20)*A140*$G$9*EXP(-$G$8*$C$5-($G$6+$G$7*$C$5)*A140)</f>
        <v/>
      </c>
    </row>
    <row r="141">
      <c r="A141" s="582" t="n">
        <v>9.9</v>
      </c>
      <c r="B141" s="582">
        <f>($B$18+24*$B$19+4.9111739207*$B$20)*A141*$G$9*EXP(-$G$8*$C$5-($G$6+$G$7*$C$5)*A141)</f>
        <v/>
      </c>
    </row>
    <row r="142">
      <c r="A142" s="582" t="n">
        <v>10</v>
      </c>
      <c r="B142" s="582">
        <f>($B$18+24*$B$19+4.9111739207*$B$20)*A142*$G$9*EXP(-$G$8*$C$5-($G$6+$G$7*$C$5)*A142)</f>
        <v/>
      </c>
    </row>
    <row r="143">
      <c r="A143" s="582" t="n">
        <v>10.1</v>
      </c>
      <c r="B143" s="582">
        <f>($B$18+24*$B$19+4.9111739207*$B$20)*A143*$G$9*EXP(-$G$8*$C$5-($G$6+$G$7*$C$5)*A143)</f>
        <v/>
      </c>
    </row>
    <row r="144">
      <c r="A144" s="582" t="n">
        <v>10.2</v>
      </c>
      <c r="B144" s="582">
        <f>($B$18+24*$B$19+4.9111739207*$B$20)*A144*$G$9*EXP(-$G$8*$C$5-($G$6+$G$7*$C$5)*A144)</f>
        <v/>
      </c>
    </row>
    <row r="145">
      <c r="A145" s="582" t="n">
        <v>10.3</v>
      </c>
      <c r="B145" s="582">
        <f>($B$18+24*$B$19+4.9111739207*$B$20)*A145*$G$9*EXP(-$G$8*$C$5-($G$6+$G$7*$C$5)*A145)</f>
        <v/>
      </c>
    </row>
    <row r="146">
      <c r="A146" s="582" t="n">
        <v>10.4</v>
      </c>
      <c r="B146" s="582">
        <f>($B$18+24*$B$19+4.9111739207*$B$20)*A146*$G$9*EXP(-$G$8*$C$5-($G$6+$G$7*$C$5)*A146)</f>
        <v/>
      </c>
    </row>
    <row r="147">
      <c r="A147" s="582" t="n">
        <v>10.5</v>
      </c>
      <c r="B147" s="582">
        <f>($B$18+24*$B$19+4.9111739207*$B$20)*A147*$G$9*EXP(-$G$8*$C$5-($G$6+$G$7*$C$5)*A147)</f>
        <v/>
      </c>
    </row>
    <row r="148">
      <c r="A148" s="582" t="n">
        <v>10.6</v>
      </c>
      <c r="B148" s="582">
        <f>($B$18+24*$B$19+4.9111739207*$B$20)*A148*$G$9*EXP(-$G$8*$C$5-($G$6+$G$7*$C$5)*A148)</f>
        <v/>
      </c>
    </row>
    <row r="149">
      <c r="A149" s="582" t="n">
        <v>10.7</v>
      </c>
      <c r="B149" s="582">
        <f>($B$18+24*$B$19+4.9111739207*$B$20)*A149*$G$9*EXP(-$G$8*$C$5-($G$6+$G$7*$C$5)*A149)</f>
        <v/>
      </c>
    </row>
    <row r="150">
      <c r="A150" s="582" t="n">
        <v>10.8</v>
      </c>
      <c r="B150" s="582">
        <f>($B$18+24*$B$19+4.9111739207*$B$20)*A150*$G$9*EXP(-$G$8*$C$5-($G$6+$G$7*$C$5)*A150)</f>
        <v/>
      </c>
    </row>
    <row r="151">
      <c r="A151" s="582" t="n">
        <v>10.9</v>
      </c>
      <c r="B151" s="582">
        <f>($B$18+24*$B$19+4.9111739207*$B$20)*A151*$G$9*EXP(-$G$8*$C$5-($G$6+$G$7*$C$5)*A151)</f>
        <v/>
      </c>
    </row>
    <row r="152">
      <c r="A152" s="582" t="n">
        <v>11</v>
      </c>
      <c r="B152" s="582">
        <f>($B$18+24*$B$19+4.9111739207*$B$20)*A152*$G$9*EXP(-$G$8*$C$5-($G$6+$G$7*$C$5)*A152)</f>
        <v/>
      </c>
    </row>
    <row r="153">
      <c r="A153" s="582" t="n">
        <v>11.1</v>
      </c>
      <c r="B153" s="582">
        <f>($B$18+24*$B$19+4.9111739207*$B$20)*A153*$G$9*EXP(-$G$8*$C$5-($G$6+$G$7*$C$5)*A153)</f>
        <v/>
      </c>
    </row>
    <row r="154">
      <c r="A154" s="582" t="n">
        <v>11.2</v>
      </c>
      <c r="B154" s="582">
        <f>($B$18+24*$B$19+4.9111739207*$B$20)*A154*$G$9*EXP(-$G$8*$C$5-($G$6+$G$7*$C$5)*A154)</f>
        <v/>
      </c>
    </row>
    <row r="155">
      <c r="A155" s="582" t="n">
        <v>11.3</v>
      </c>
      <c r="B155" s="582">
        <f>($B$18+24*$B$19+4.9111739207*$B$20)*A155*$G$9*EXP(-$G$8*$C$5-($G$6+$G$7*$C$5)*A155)</f>
        <v/>
      </c>
    </row>
    <row r="156">
      <c r="A156" s="582" t="n">
        <v>11.4</v>
      </c>
      <c r="B156" s="582">
        <f>($B$18+24*$B$19+4.9111739207*$B$20)*A156*$G$9*EXP(-$G$8*$C$5-($G$6+$G$7*$C$5)*A156)</f>
        <v/>
      </c>
    </row>
    <row r="157">
      <c r="A157" s="582" t="n">
        <v>11.5</v>
      </c>
      <c r="B157" s="582">
        <f>($B$18+24*$B$19+4.9111739207*$B$20)*A157*$G$9*EXP(-$G$8*$C$5-($G$6+$G$7*$C$5)*A157)</f>
        <v/>
      </c>
    </row>
    <row r="158">
      <c r="A158" s="582" t="n">
        <v>11.6</v>
      </c>
      <c r="B158" s="582">
        <f>($B$18+24*$B$19+4.9111739207*$B$20)*A158*$G$9*EXP(-$G$8*$C$5-($G$6+$G$7*$C$5)*A158)</f>
        <v/>
      </c>
    </row>
    <row r="159">
      <c r="A159" s="582" t="n">
        <v>11.7</v>
      </c>
      <c r="B159" s="582">
        <f>($B$18+24*$B$19+4.9111739207*$B$20)*A159*$G$9*EXP(-$G$8*$C$5-($G$6+$G$7*$C$5)*A159)</f>
        <v/>
      </c>
    </row>
    <row r="160">
      <c r="A160" s="582" t="n">
        <v>11.8</v>
      </c>
      <c r="B160" s="582">
        <f>($B$18+24*$B$19+4.9111739207*$B$20)*A160*$G$9*EXP(-$G$8*$C$5-($G$6+$G$7*$C$5)*A160)</f>
        <v/>
      </c>
    </row>
    <row r="161">
      <c r="A161" s="582" t="n">
        <v>11.9</v>
      </c>
      <c r="B161" s="582">
        <f>($B$18+24*$B$19+4.9111739207*$B$20)*A161*$G$9*EXP(-$G$8*$C$5-($G$6+$G$7*$C$5)*A161)</f>
        <v/>
      </c>
    </row>
    <row r="162">
      <c r="A162" s="582" t="n">
        <v>12</v>
      </c>
      <c r="B162" s="582">
        <f>($B$18+24*$B$19+4.9111739207*$B$20)*A162*$G$9*EXP(-$G$8*$C$5-($G$6+$G$7*$C$5)*A162)</f>
        <v/>
      </c>
    </row>
    <row r="163">
      <c r="A163" s="582" t="n">
        <v>12.1</v>
      </c>
      <c r="B163" s="582">
        <f>($B$18+24*$B$19+4.9111739207*$B$20)*A163*$G$9*EXP(-$G$8*$C$5-($G$6+$G$7*$C$5)*A163)</f>
        <v/>
      </c>
    </row>
    <row r="164">
      <c r="A164" s="582" t="n">
        <v>12.2</v>
      </c>
      <c r="B164" s="582">
        <f>($B$18+24*$B$19+4.9111739207*$B$20)*A164*$G$9*EXP(-$G$8*$C$5-($G$6+$G$7*$C$5)*A164)</f>
        <v/>
      </c>
    </row>
    <row r="165">
      <c r="A165" s="582" t="n">
        <v>12.3</v>
      </c>
      <c r="B165" s="582">
        <f>($B$18+24*$B$19+4.9111739207*$B$20)*A165*$G$9*EXP(-$G$8*$C$5-($G$6+$G$7*$C$5)*A165)</f>
        <v/>
      </c>
    </row>
    <row r="166">
      <c r="A166" s="582" t="n">
        <v>12.4</v>
      </c>
      <c r="B166" s="582">
        <f>($B$18+24*$B$19+4.9111739207*$B$20)*A166*$G$9*EXP(-$G$8*$C$5-($G$6+$G$7*$C$5)*A166)</f>
        <v/>
      </c>
    </row>
    <row r="167">
      <c r="A167" s="582" t="n">
        <v>12.5</v>
      </c>
      <c r="B167" s="582">
        <f>($B$18+24*$B$19+4.9111739207*$B$20)*A167*$G$9*EXP(-$G$8*$C$5-($G$6+$G$7*$C$5)*A167)</f>
        <v/>
      </c>
    </row>
    <row r="168">
      <c r="A168" s="582" t="n">
        <v>12.6</v>
      </c>
      <c r="B168" s="582">
        <f>($B$18+24*$B$19+4.9111739207*$B$20)*A168*$G$9*EXP(-$G$8*$C$5-($G$6+$G$7*$C$5)*A168)</f>
        <v/>
      </c>
    </row>
    <row r="169">
      <c r="A169" s="582" t="n">
        <v>12.7</v>
      </c>
      <c r="B169" s="582">
        <f>($B$18+24*$B$19+4.9111739207*$B$20)*A169*$G$9*EXP(-$G$8*$C$5-($G$6+$G$7*$C$5)*A169)</f>
        <v/>
      </c>
    </row>
    <row r="170">
      <c r="A170" s="582" t="n">
        <v>12.8</v>
      </c>
      <c r="B170" s="582">
        <f>($B$18+24*$B$19+4.9111739207*$B$20)*A170*$G$9*EXP(-$G$8*$C$5-($G$6+$G$7*$C$5)*A170)</f>
        <v/>
      </c>
    </row>
    <row r="171">
      <c r="A171" s="582" t="n">
        <v>12.9</v>
      </c>
      <c r="B171" s="582">
        <f>($B$18+24*$B$19+4.9111739207*$B$20)*A171*$G$9*EXP(-$G$8*$C$5-($G$6+$G$7*$C$5)*A171)</f>
        <v/>
      </c>
    </row>
    <row r="172">
      <c r="A172" s="582" t="n">
        <v>13</v>
      </c>
      <c r="B172" s="582">
        <f>($B$18+24*$B$19+4.9111739207*$B$20)*A172*$G$9*EXP(-$G$8*$C$5-($G$6+$G$7*$C$5)*A172)</f>
        <v/>
      </c>
    </row>
    <row r="173">
      <c r="A173" s="582" t="n">
        <v>13.1</v>
      </c>
      <c r="B173" s="582">
        <f>($B$18+24*$B$19+4.9111739207*$B$20)*A173*$G$9*EXP(-$G$8*$C$5-($G$6+$G$7*$C$5)*A173)</f>
        <v/>
      </c>
    </row>
    <row r="174">
      <c r="A174" s="582" t="n">
        <v>13.2</v>
      </c>
      <c r="B174" s="582">
        <f>($B$18+24*$B$19+4.9111739207*$B$20)*A174*$G$9*EXP(-$G$8*$C$5-($G$6+$G$7*$C$5)*A174)</f>
        <v/>
      </c>
    </row>
    <row r="175">
      <c r="A175" s="582" t="n">
        <v>13.3</v>
      </c>
      <c r="B175" s="582">
        <f>($B$18+24*$B$19+4.9111739207*$B$20)*A175*$G$9*EXP(-$G$8*$C$5-($G$6+$G$7*$C$5)*A175)</f>
        <v/>
      </c>
    </row>
    <row r="176">
      <c r="A176" s="582" t="n">
        <v>13.4</v>
      </c>
      <c r="B176" s="582">
        <f>($B$18+24*$B$19+4.9111739207*$B$20)*A176*$G$9*EXP(-$G$8*$C$5-($G$6+$G$7*$C$5)*A176)</f>
        <v/>
      </c>
    </row>
    <row r="177">
      <c r="A177" s="582" t="n">
        <v>13.5</v>
      </c>
      <c r="B177" s="582">
        <f>($B$18+24*$B$19+4.9111739207*$B$20)*A177*$G$9*EXP(-$G$8*$C$5-($G$6+$G$7*$C$5)*A177)</f>
        <v/>
      </c>
    </row>
    <row r="178">
      <c r="A178" s="582" t="n">
        <v>13.6</v>
      </c>
      <c r="B178" s="582">
        <f>($B$18+24*$B$19+4.9111739207*$B$20)*A178*$G$9*EXP(-$G$8*$C$5-($G$6+$G$7*$C$5)*A178)</f>
        <v/>
      </c>
    </row>
    <row r="179">
      <c r="A179" s="582" t="n">
        <v>13.7</v>
      </c>
      <c r="B179" s="582">
        <f>($B$18+24*$B$19+4.9111739207*$B$20)*A179*$G$9*EXP(-$G$8*$C$5-($G$6+$G$7*$C$5)*A179)</f>
        <v/>
      </c>
    </row>
    <row r="180">
      <c r="A180" s="582" t="n">
        <v>13.8</v>
      </c>
      <c r="B180" s="582">
        <f>($B$18+24*$B$19+4.9111739207*$B$20)*A180*$G$9*EXP(-$G$8*$C$5-($G$6+$G$7*$C$5)*A180)</f>
        <v/>
      </c>
    </row>
    <row r="181">
      <c r="A181" s="582" t="n">
        <v>13.9</v>
      </c>
      <c r="B181" s="582">
        <f>($B$18+24*$B$19+4.9111739207*$B$20)*A181*$G$9*EXP(-$G$8*$C$5-($G$6+$G$7*$C$5)*A181)</f>
        <v/>
      </c>
    </row>
    <row r="182">
      <c r="A182" s="582" t="n">
        <v>14</v>
      </c>
      <c r="B182" s="582">
        <f>($B$18+24*$B$19+4.9111739207*$B$20)*A182*$G$9*EXP(-$G$8*$C$5-($G$6+$G$7*$C$5)*A182)</f>
        <v/>
      </c>
    </row>
    <row r="183">
      <c r="A183" s="582" t="n">
        <v>14.1</v>
      </c>
      <c r="B183" s="582">
        <f>($B$18+24*$B$19+4.9111739207*$B$20)*A183*$G$9*EXP(-$G$8*$C$5-($G$6+$G$7*$C$5)*A183)</f>
        <v/>
      </c>
    </row>
    <row r="184">
      <c r="A184" s="582" t="n">
        <v>14.2</v>
      </c>
      <c r="B184" s="582">
        <f>($B$18+24*$B$19+4.9111739207*$B$20)*A184*$G$9*EXP(-$G$8*$C$5-($G$6+$G$7*$C$5)*A184)</f>
        <v/>
      </c>
    </row>
    <row r="185">
      <c r="A185" s="582" t="n">
        <v>14.3</v>
      </c>
      <c r="B185" s="582">
        <f>($B$18+24*$B$19+4.9111739207*$B$20)*A185*$G$9*EXP(-$G$8*$C$5-($G$6+$G$7*$C$5)*A185)</f>
        <v/>
      </c>
    </row>
    <row r="186">
      <c r="A186" s="582" t="n">
        <v>14.4</v>
      </c>
      <c r="B186" s="582">
        <f>($B$18+24*$B$19+4.9111739207*$B$20)*A186*$G$9*EXP(-$G$8*$C$5-($G$6+$G$7*$C$5)*A186)</f>
        <v/>
      </c>
    </row>
    <row r="187">
      <c r="A187" s="582" t="n">
        <v>14.5</v>
      </c>
      <c r="B187" s="582">
        <f>($B$18+24*$B$19+4.9111739207*$B$20)*A187*$G$9*EXP(-$G$8*$C$5-($G$6+$G$7*$C$5)*A187)</f>
        <v/>
      </c>
    </row>
    <row r="188">
      <c r="A188" s="582" t="n">
        <v>14.6</v>
      </c>
      <c r="B188" s="582">
        <f>($B$18+24*$B$19+4.9111739207*$B$20)*A188*$G$9*EXP(-$G$8*$C$5-($G$6+$G$7*$C$5)*A188)</f>
        <v/>
      </c>
    </row>
    <row r="189">
      <c r="A189" s="582" t="n">
        <v>14.7</v>
      </c>
      <c r="B189" s="582">
        <f>($B$18+24*$B$19+4.9111739207*$B$20)*A189*$G$9*EXP(-$G$8*$C$5-($G$6+$G$7*$C$5)*A189)</f>
        <v/>
      </c>
    </row>
    <row r="190">
      <c r="A190" s="582" t="n">
        <v>14.8</v>
      </c>
      <c r="B190" s="582">
        <f>($B$18+24*$B$19+4.9111739207*$B$20)*A190*$G$9*EXP(-$G$8*$C$5-($G$6+$G$7*$C$5)*A190)</f>
        <v/>
      </c>
    </row>
    <row r="191">
      <c r="A191" s="582" t="n">
        <v>14.9</v>
      </c>
      <c r="B191" s="582">
        <f>($B$18+24*$B$19+4.9111739207*$B$20)*A191*$G$9*EXP(-$G$8*$C$5-($G$6+$G$7*$C$5)*A191)</f>
        <v/>
      </c>
    </row>
    <row r="192">
      <c r="A192" s="582" t="n">
        <v>15</v>
      </c>
      <c r="B192" s="582">
        <f>($B$18+24*$B$19+4.9111739207*$B$20)*A192*$G$9*EXP(-$G$8*$C$5-($G$6+$G$7*$C$5)*A192)</f>
        <v/>
      </c>
    </row>
    <row r="193">
      <c r="A193" s="582">
        <f>$C$8</f>
        <v/>
      </c>
      <c r="C193" s="582">
        <f>(1697.73777048*$B$18+40745.7064914*$B19+8337.88546256*$B$20)*$A193*$C$9/($C$6*$C$7)</f>
        <v/>
      </c>
    </row>
    <row r="194">
      <c r="A194" s="582" t="n">
        <v>0</v>
      </c>
      <c r="D194" s="582" t="n">
        <v>0</v>
      </c>
    </row>
    <row r="195">
      <c r="A195" s="582">
        <f>(0.000589019116*$B$18+0.0000245424631*$B$19+0.000119934485*$B$20)*$D$195*$C$6*$C$7/$C$9</f>
        <v/>
      </c>
      <c r="D195" s="582">
        <f>1.25*($B$18+24*$B$19+4.9111739207*$B$20)*$G$9*EXP(-$G$8*$C$5-1)/($G$6+$G$7*$C$5)</f>
        <v/>
      </c>
    </row>
    <row r="196">
      <c r="A196" s="582" t="n">
        <v>0</v>
      </c>
      <c r="E196" s="582">
        <f>(1697.73777048*$B$18+40745.7064914*$B$19+8337.88546256*$B$20)*($C$9+$C$10)*$C$8/($C$6*$C$7)</f>
        <v/>
      </c>
    </row>
    <row r="197">
      <c r="A197" s="582">
        <f>(0.000589019116*$B$18+0.0000245424631*$B$19+0.000119934485*$B$20)*$E$196*$C$6*$C$7/$C$10</f>
        <v/>
      </c>
      <c r="E197" s="582">
        <f>-(1697.73777048*$B$18+40745.7064914*$B$19+8337.88546256*$B$20)*$A197*$C$10/($C$6*$C$7)+$E$196</f>
        <v/>
      </c>
    </row>
    <row r="198">
      <c r="A198" s="582">
        <f>$C$8</f>
        <v/>
      </c>
      <c r="F198" s="582">
        <f>(1697.73777048*$B$18+40745.7064914*$B$19+8337.88546256*$B$20)*$A198*$C$11/($C$6*$C$7)</f>
        <v/>
      </c>
    </row>
    <row r="199">
      <c r="A199" s="582" t="n">
        <v>0</v>
      </c>
      <c r="G199" s="582" t="n">
        <v>0</v>
      </c>
    </row>
    <row r="200">
      <c r="A200" s="582">
        <f>IF($C$11=0,0,(0.000589019116*$B$18+0.0000245424631*$B$19+0.000119934485*$B$20)*$D$195*$C$6*$C$7/$C$11)</f>
        <v/>
      </c>
      <c r="G200" s="582">
        <f>IF($C$11=0,0,1.25*($B$18+24*$B$19+4.9111739207*$B$20)*$G$9*EXP(-$G$8*$C$5-1)/($G$6+$G$7*$C$5))</f>
        <v/>
      </c>
    </row>
    <row r="201">
      <c r="A201" s="582" t="n">
        <v>0</v>
      </c>
      <c r="H201" s="582">
        <f>IF($C$11=0,0,(1697.73777048*$B$18+40745.7064914*$B$19+8337.88546256*$B$20)*($C$11+$C$10)*$C$8/($C$6*$C$7))</f>
        <v/>
      </c>
    </row>
    <row r="202">
      <c r="A202" s="582">
        <f>(0.000589019116*$B$18+0.0000245424631*$B$19+0.000119934485*$B$20)*$H$201*$C$6*$C$7/$C$10</f>
        <v/>
      </c>
      <c r="H202" s="582">
        <f>IF($C$11=0,0,-(1697.73777048*$B$18+40745.7064914*$B$19+8337.88546256*$B$20)*$A202*$C$10/($C$6*$C$7)+$H$201)</f>
        <v/>
      </c>
    </row>
    <row r="203">
      <c r="A203" s="582" t="n">
        <v>0</v>
      </c>
      <c r="I203" s="582">
        <f>IF($C$11=0,0,1697.73777048*$B$18+40745.7064914*$B$19+8337.88546256*$B$20)*($C$9+$C$12)*$C$8/($C$6*$C$7)</f>
        <v/>
      </c>
    </row>
    <row r="204">
      <c r="A204" s="582">
        <f>IF($C$11=0,0,(0.000589019116*$B$18+0.0000245424631*$B$19+0.000119934485*$B$20)*$I$203*$C$6*$C$7/$C$10)</f>
        <v/>
      </c>
      <c r="I204" s="582">
        <f>IF($C$11=0,0,(1697.73777048*$B$18+40745.7064914*$B$19+8337.88546256*$B$20)*$A204*(-1)*$C$10/($C$6*$C$7)+$I$203)</f>
        <v/>
      </c>
    </row>
    <row r="205">
      <c r="A205" s="582">
        <f>IF($C$12=0,0,0)</f>
        <v/>
      </c>
      <c r="J205" s="582">
        <f>IF($C$12=0,0,(1697.73777048*$B$18+40745.7064914*$B$19+8337.88546256*$B$20)*($C$9+$C$12)*$C$8/($C$6*$C$7))</f>
        <v/>
      </c>
    </row>
    <row r="206">
      <c r="A206" s="582">
        <f>IF($C$12=0,0,(0.000589019116*$B$18+0.0000245424631*$B$19+0.000119934485*$B$20)*$J$205*$C$6*$C$7/$C$12)</f>
        <v/>
      </c>
      <c r="J206" s="582">
        <f>IF($C$12=0,0,-(1697.73777048*$B$18+40745.7064914*$B$19+8337.88546256*$B$20)*$A206*$C$12/($C$6*$C$7)+$J$205)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YMafxrLoYd5USoK9yf7RBw==" formatRows="1" sort="1" spinCount="100000" hashValue="tybj2xoAnneVwCW/39s1taYLw8u7iyhEUVKJZGMirDIrbTckVrEAaFsiND5WMp+T0poBJewTew+biTJebg0nPw=="/>
  <mergeCells count="1">
    <mergeCell ref="J47:K50"/>
  </mergeCells>
  <hyperlinks>
    <hyperlink ref="J47" location="Main!A1" display="رجوع"/>
  </hyperlink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scale="56" horizont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2008-11-13T11:47:31Z</dcterms:created>
  <dcterms:modified xsi:type="dcterms:W3CDTF">2026-02-16T05:00:34Z</dcterms:modified>
  <cp:lastModifiedBy>dell</cp:lastModifiedBy>
  <cp:lastPrinted>2023-11-02T09:16:50Z</cp:lastPrinted>
</cp:coreProperties>
</file>