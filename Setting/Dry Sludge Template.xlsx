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 work\Ch Mohamad\Plant Reports\Setting\"/>
    </mc:Choice>
  </mc:AlternateContent>
  <bookViews>
    <workbookView xWindow="0" yWindow="0" windowWidth="23040" windowHeight="9192"/>
  </bookViews>
  <sheets>
    <sheet name="Main" sheetId="1" r:id="rId1"/>
    <sheet name="TS%" sheetId="2" r:id="rId2"/>
  </sheets>
  <definedNames>
    <definedName name="_xlnm.Print_Area" localSheetId="0">Main!$A$1:$I$19</definedName>
  </definedNames>
  <calcPr calcId="162913"/>
</workbook>
</file>

<file path=xl/calcChain.xml><?xml version="1.0" encoding="utf-8"?>
<calcChain xmlns="http://schemas.openxmlformats.org/spreadsheetml/2006/main">
  <c r="E5" i="2" l="1"/>
  <c r="F5" i="2" s="1"/>
  <c r="E6" i="2" l="1"/>
  <c r="F6" i="2" s="1"/>
  <c r="I15" i="1"/>
</calcChain>
</file>

<file path=xl/sharedStrings.xml><?xml version="1.0" encoding="utf-8"?>
<sst xmlns="http://schemas.openxmlformats.org/spreadsheetml/2006/main" count="38" uniqueCount="37">
  <si>
    <r>
      <t xml:space="preserve">     </t>
    </r>
    <r>
      <rPr>
        <b/>
        <sz val="16"/>
        <rFont val="Arial"/>
        <family val="2"/>
      </rPr>
      <t>SAMPLE</t>
    </r>
  </si>
  <si>
    <t>SAMPLING DATE</t>
  </si>
  <si>
    <t>pH</t>
  </si>
  <si>
    <t>T.Coli</t>
  </si>
  <si>
    <t>N/100ml</t>
  </si>
  <si>
    <t>V</t>
  </si>
  <si>
    <t>رجوع</t>
  </si>
  <si>
    <t>Nil</t>
  </si>
  <si>
    <t>Dry Sludge analysis</t>
  </si>
  <si>
    <t xml:space="preserve">Microscope </t>
  </si>
  <si>
    <t>Ova</t>
  </si>
  <si>
    <t>micro-organism</t>
  </si>
  <si>
    <t>6.0 - 9.0</t>
  </si>
  <si>
    <t>F.Coli</t>
  </si>
  <si>
    <t>Dry sludge TS %</t>
  </si>
  <si>
    <t>No</t>
  </si>
  <si>
    <t>Crucible W1</t>
  </si>
  <si>
    <t>Sludge + Crucible W2</t>
  </si>
  <si>
    <t>Dry + crucible W3</t>
  </si>
  <si>
    <t>DC %</t>
  </si>
  <si>
    <t>WC %</t>
  </si>
  <si>
    <t>F</t>
  </si>
  <si>
    <t>MPN/100ml</t>
  </si>
  <si>
    <t>الشركة القابضة</t>
  </si>
  <si>
    <t>شركة مياه الشرب والصرف الصحي بالفيوم</t>
  </si>
  <si>
    <t>قطاع المعامل</t>
  </si>
  <si>
    <t>الادارة العامة لمعامل محطات الصرف الصحي</t>
  </si>
  <si>
    <t>Holding Company</t>
  </si>
  <si>
    <t>Fayoum Drinking Water and Sanitation Company</t>
  </si>
  <si>
    <t>Lab. Department</t>
  </si>
  <si>
    <t>NA</t>
  </si>
  <si>
    <t>Debris</t>
  </si>
  <si>
    <t xml:space="preserve">Technical manager:  </t>
  </si>
  <si>
    <t>Mohamad Alawamy</t>
  </si>
  <si>
    <t>Tamiya Sanitation Plant laboratory</t>
  </si>
  <si>
    <t>معمل محطة معالجة الصرف الصحي بطامية</t>
  </si>
  <si>
    <t>Tamiya sanitation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</si>
</sst>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000]d/m/yyyy;@"/>
    <numFmt numFmtId="165" formatCode="0.0"/>
    <numFmt numFmtId="166" formatCode="0.0000"/>
    <numFmt numFmtId="167" formatCode="0.0%"/>
  </numFmts>
  <fonts count="17" x14ac:knownFonts="1">
    <font>
      <sz val="10"/>
      <name val="Arial"/>
      <charset val="178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  <font>
      <b/>
      <i/>
      <sz val="12"/>
      <color rgb="FF3366FF"/>
      <name val="Arial"/>
      <family val="2"/>
    </font>
    <font>
      <b/>
      <i/>
      <sz val="14"/>
      <color rgb="FF3366FF"/>
      <name val="Arial"/>
      <family val="2"/>
    </font>
    <font>
      <b/>
      <u/>
      <sz val="26"/>
      <color theme="10"/>
      <name val="Arial"/>
      <family val="2"/>
    </font>
    <font>
      <sz val="26"/>
      <name val="Blackadder ITC"/>
      <family val="5"/>
    </font>
    <font>
      <u/>
      <sz val="24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Gray">
        <bgColor indexed="42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0" fontId="0" fillId="0" borderId="0" xfId="0" applyProtection="1"/>
    <xf numFmtId="0" fontId="0" fillId="0" borderId="0" xfId="0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center"/>
      <protection locked="0"/>
    </xf>
    <xf numFmtId="165" fontId="0" fillId="0" borderId="0" xfId="0" applyNumberFormat="1" applyProtection="1"/>
    <xf numFmtId="0" fontId="3" fillId="0" borderId="0" xfId="0" applyFont="1" applyProtection="1">
      <protection locked="0"/>
    </xf>
    <xf numFmtId="14" fontId="0" fillId="0" borderId="0" xfId="0" applyNumberFormat="1" applyProtection="1"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11" fillId="0" borderId="5" xfId="1" applyFill="1" applyBorder="1" applyAlignment="1" applyProtection="1">
      <alignment horizontal="center" vertical="center"/>
      <protection locked="0"/>
    </xf>
    <xf numFmtId="16" fontId="4" fillId="0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 applyAlignment="1" applyProtection="1">
      <alignment horizontal="center"/>
      <protection locked="0"/>
    </xf>
    <xf numFmtId="165" fontId="3" fillId="3" borderId="3" xfId="0" applyNumberFormat="1" applyFont="1" applyFill="1" applyBorder="1" applyAlignment="1" applyProtection="1">
      <alignment horizontal="center" vertical="center"/>
      <protection locked="0"/>
    </xf>
    <xf numFmtId="165" fontId="3" fillId="2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Protection="1">
      <protection locked="0"/>
    </xf>
    <xf numFmtId="0" fontId="9" fillId="0" borderId="0" xfId="0" applyFont="1" applyAlignment="1" applyProtection="1">
      <alignment horizontal="center" vertical="center"/>
      <protection locked="0" hidden="1"/>
    </xf>
    <xf numFmtId="0" fontId="10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readingOrder="2"/>
    </xf>
    <xf numFmtId="0" fontId="12" fillId="0" borderId="0" xfId="0" applyFont="1"/>
    <xf numFmtId="0" fontId="10" fillId="0" borderId="0" xfId="0" applyFont="1" applyAlignment="1">
      <alignment horizontal="center" vertical="center" readingOrder="2"/>
    </xf>
    <xf numFmtId="0" fontId="13" fillId="0" borderId="0" xfId="0" applyFont="1" applyAlignment="1">
      <alignment horizontal="center" vertical="center" readingOrder="2"/>
    </xf>
    <xf numFmtId="166" fontId="9" fillId="0" borderId="0" xfId="0" applyNumberFormat="1" applyFont="1" applyAlignment="1" applyProtection="1">
      <alignment horizontal="center" vertical="center"/>
      <protection locked="0" hidden="1"/>
    </xf>
    <xf numFmtId="9" fontId="0" fillId="0" borderId="0" xfId="2" applyFont="1" applyProtection="1">
      <protection locked="0"/>
    </xf>
    <xf numFmtId="167" fontId="3" fillId="2" borderId="3" xfId="2" applyNumberFormat="1" applyFont="1" applyFill="1" applyBorder="1" applyAlignment="1" applyProtection="1">
      <alignment horizontal="center" vertical="center"/>
    </xf>
    <xf numFmtId="167" fontId="9" fillId="0" borderId="0" xfId="2" applyNumberFormat="1" applyFont="1" applyAlignment="1" applyProtection="1">
      <alignment horizontal="left" vertical="center"/>
    </xf>
    <xf numFmtId="167" fontId="9" fillId="0" borderId="0" xfId="2" applyNumberFormat="1" applyFont="1" applyAlignment="1" applyProtection="1">
      <alignment horizontal="center" vertical="center"/>
    </xf>
    <xf numFmtId="0" fontId="15" fillId="0" borderId="0" xfId="0" applyFont="1" applyBorder="1" applyProtection="1"/>
    <xf numFmtId="0" fontId="6" fillId="0" borderId="0" xfId="0" applyFont="1" applyAlignment="1" applyProtection="1">
      <alignment horizont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10" fontId="4" fillId="0" borderId="13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</xf>
    <xf numFmtId="0" fontId="16" fillId="0" borderId="0" xfId="1" applyFont="1" applyAlignment="1" applyProtection="1">
      <alignment horizontal="center" vertical="center"/>
      <protection locked="0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859155</xdr:colOff>
      <xdr:row>1</xdr:row>
      <xdr:rowOff>13335</xdr:rowOff>
    </xdr:from>
    <xdr:to>
      <xdr:col>5</xdr:col>
      <xdr:colOff>1973580</xdr:colOff>
      <xdr:row>4</xdr:row>
      <xdr:rowOff>156210</xdr:rowOff>
    </xdr:to>
    <xdr:pic>
      <xdr:nvPicPr>
        <xdr:cNvPr id="1032" name="Picture 1" descr="Logo Fayoum copy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6235" y="211455"/>
          <a:ext cx="1114425" cy="782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24"/>
  <sheetViews>
    <sheetView tabSelected="1" zoomScaleNormal="100" zoomScaleSheetLayoutView="145" workbookViewId="0">
      <selection activeCell="D11" sqref="D11:F11"/>
    </sheetView>
  </sheetViews>
  <sheetFormatPr defaultColWidth="9.109375" defaultRowHeight="13.2" x14ac:dyDescent="0.25"/>
  <cols>
    <col min="1" max="1" width="6" style="1" customWidth="1"/>
    <col min="2" max="2" width="8.109375" style="1" customWidth="1"/>
    <col min="3" max="3" width="12.33203125" style="1" customWidth="1"/>
    <col min="4" max="5" width="10.88671875" style="1" customWidth="1"/>
    <col min="6" max="6" width="37.6640625" style="1" bestFit="1" customWidth="1"/>
    <col min="7" max="7" width="0.6640625" style="1" hidden="1" customWidth="1"/>
    <col min="8" max="8" width="14.6640625" style="1" customWidth="1"/>
    <col min="9" max="9" width="15.6640625" style="1" bestFit="1" customWidth="1"/>
    <col min="10" max="16384" width="9.109375" style="1"/>
  </cols>
  <sheetData>
    <row r="1" spans="1:10" ht="15.6" x14ac:dyDescent="0.25">
      <c r="D1" s="28" t="s">
        <v>27</v>
      </c>
      <c r="I1" s="25" t="s">
        <v>23</v>
      </c>
    </row>
    <row r="2" spans="1:10" ht="15.6" x14ac:dyDescent="0.25">
      <c r="D2" s="28" t="s">
        <v>28</v>
      </c>
      <c r="I2" s="25" t="s">
        <v>24</v>
      </c>
    </row>
    <row r="3" spans="1:10" ht="17.399999999999999" x14ac:dyDescent="0.25">
      <c r="D3" s="29" t="s">
        <v>29</v>
      </c>
      <c r="I3" s="26" t="s">
        <v>25</v>
      </c>
    </row>
    <row r="4" spans="1:10" ht="17.399999999999999" x14ac:dyDescent="0.25">
      <c r="D4" s="29" t="s">
        <v>36</v>
      </c>
      <c r="I4" s="26" t="s">
        <v>26</v>
      </c>
    </row>
    <row r="5" spans="1:10" ht="15.6" x14ac:dyDescent="0.3">
      <c r="I5" s="27" t="s">
        <v>35</v>
      </c>
    </row>
    <row r="6" spans="1:10" x14ac:dyDescent="0.25">
      <c r="A6" s="36" t="s">
        <v>34</v>
      </c>
      <c r="B6" s="36"/>
      <c r="C6" s="36"/>
      <c r="D6" s="36"/>
      <c r="E6" s="36"/>
      <c r="F6" s="36"/>
      <c r="G6" s="36"/>
      <c r="H6" s="36"/>
      <c r="I6" s="36"/>
    </row>
    <row r="7" spans="1:10" ht="12.75" customHeight="1" x14ac:dyDescent="0.25">
      <c r="A7" s="36"/>
      <c r="B7" s="36"/>
      <c r="C7" s="36"/>
      <c r="D7" s="36"/>
      <c r="E7" s="36"/>
      <c r="F7" s="36"/>
      <c r="G7" s="36"/>
      <c r="H7" s="36"/>
      <c r="I7" s="36"/>
    </row>
    <row r="8" spans="1:10" ht="12.75" customHeight="1" x14ac:dyDescent="0.25">
      <c r="A8" s="47" t="s">
        <v>8</v>
      </c>
      <c r="B8" s="47"/>
      <c r="C8" s="47"/>
      <c r="D8" s="47"/>
      <c r="E8" s="47"/>
      <c r="F8" s="47"/>
      <c r="G8" s="47"/>
      <c r="H8" s="47"/>
    </row>
    <row r="9" spans="1:10" ht="12.75" customHeight="1" x14ac:dyDescent="0.25">
      <c r="A9" s="47"/>
      <c r="B9" s="47"/>
      <c r="C9" s="47"/>
      <c r="D9" s="47"/>
      <c r="E9" s="47"/>
      <c r="F9" s="47"/>
      <c r="G9" s="47"/>
      <c r="H9" s="47"/>
    </row>
    <row r="10" spans="1:10" ht="12.75" customHeight="1" x14ac:dyDescent="0.25">
      <c r="A10" s="47"/>
      <c r="B10" s="47"/>
      <c r="C10" s="47"/>
      <c r="D10" s="47"/>
      <c r="E10" s="47"/>
      <c r="F10" s="47"/>
      <c r="G10" s="47"/>
      <c r="H10" s="47"/>
    </row>
    <row r="11" spans="1:10" ht="20.25" customHeight="1" x14ac:dyDescent="0.25">
      <c r="A11" s="12" t="s">
        <v>1</v>
      </c>
      <c r="B11" s="12"/>
      <c r="C11" s="12"/>
      <c r="D11" s="46"/>
      <c r="E11" s="46"/>
      <c r="F11" s="46"/>
    </row>
    <row r="12" spans="1:10" ht="13.5" customHeight="1" thickBot="1" x14ac:dyDescent="0.3">
      <c r="D12" s="13"/>
      <c r="E12" s="13"/>
    </row>
    <row r="13" spans="1:10" ht="30" customHeight="1" thickTop="1" x14ac:dyDescent="0.25">
      <c r="A13" s="37" t="s">
        <v>0</v>
      </c>
      <c r="B13" s="38"/>
      <c r="C13" s="39"/>
      <c r="D13" s="14" t="s">
        <v>2</v>
      </c>
      <c r="E13" s="48" t="s">
        <v>9</v>
      </c>
      <c r="F13" s="49"/>
      <c r="G13" s="15" t="s">
        <v>3</v>
      </c>
      <c r="H13" s="15" t="s">
        <v>13</v>
      </c>
      <c r="I13" s="16" t="s">
        <v>14</v>
      </c>
      <c r="J13" s="2"/>
    </row>
    <row r="14" spans="1:10" ht="30" customHeight="1" thickBot="1" x14ac:dyDescent="0.35">
      <c r="A14" s="40"/>
      <c r="B14" s="41"/>
      <c r="C14" s="42"/>
      <c r="D14" s="17" t="s">
        <v>12</v>
      </c>
      <c r="E14" s="18" t="s">
        <v>10</v>
      </c>
      <c r="F14" s="19" t="s">
        <v>11</v>
      </c>
      <c r="G14" s="20" t="s">
        <v>4</v>
      </c>
      <c r="H14" s="20" t="s">
        <v>22</v>
      </c>
      <c r="I14" s="21"/>
    </row>
    <row r="15" spans="1:10" ht="30" customHeight="1" thickTop="1" thickBot="1" x14ac:dyDescent="0.3">
      <c r="A15" s="43">
        <v>0.1</v>
      </c>
      <c r="B15" s="44"/>
      <c r="C15" s="45"/>
      <c r="D15" s="5"/>
      <c r="E15" s="8"/>
      <c r="F15" s="8"/>
      <c r="G15" s="6"/>
      <c r="H15" s="22" t="s">
        <v>30</v>
      </c>
      <c r="I15" s="32" t="str">
        <f>'TS%'!E5</f>
        <v/>
      </c>
    </row>
    <row r="16" spans="1:10" ht="30" customHeight="1" thickTop="1" thickBot="1" x14ac:dyDescent="0.3">
      <c r="A16" s="43">
        <v>0.1</v>
      </c>
      <c r="B16" s="44"/>
      <c r="C16" s="45"/>
      <c r="D16" s="8"/>
      <c r="E16" s="5" t="s">
        <v>7</v>
      </c>
      <c r="F16" s="5" t="s">
        <v>31</v>
      </c>
      <c r="G16" s="6" t="s">
        <v>7</v>
      </c>
      <c r="H16" s="21"/>
      <c r="I16" s="21"/>
    </row>
    <row r="17" spans="2:13" ht="16.2" thickTop="1" x14ac:dyDescent="0.25">
      <c r="M17" s="25"/>
    </row>
    <row r="18" spans="2:13" ht="15.6" x14ac:dyDescent="0.3">
      <c r="M18" s="27"/>
    </row>
    <row r="19" spans="2:13" ht="36.6" x14ac:dyDescent="0.9">
      <c r="B19" s="23" t="s">
        <v>32</v>
      </c>
      <c r="C19" s="7"/>
      <c r="D19" s="7"/>
      <c r="E19" s="35" t="s">
        <v>33</v>
      </c>
      <c r="F19" s="7"/>
    </row>
    <row r="20" spans="2:13" ht="15.6" x14ac:dyDescent="0.3">
      <c r="B20" s="7"/>
      <c r="C20" s="7"/>
      <c r="D20" s="7"/>
      <c r="E20" s="7"/>
      <c r="F20" s="23"/>
    </row>
    <row r="21" spans="2:13" ht="15.6" x14ac:dyDescent="0.3">
      <c r="B21" s="7"/>
      <c r="C21" s="7"/>
      <c r="D21" s="7"/>
      <c r="E21" s="7"/>
      <c r="F21" s="23"/>
      <c r="H21" s="31"/>
    </row>
    <row r="22" spans="2:13" ht="15.6" x14ac:dyDescent="0.3">
      <c r="B22" s="7"/>
      <c r="C22" s="7"/>
      <c r="D22" s="7"/>
      <c r="E22" s="7"/>
      <c r="F22" s="23"/>
    </row>
    <row r="23" spans="2:13" ht="15.6" x14ac:dyDescent="0.3">
      <c r="B23" s="7"/>
      <c r="C23" s="7"/>
      <c r="D23" s="7"/>
      <c r="E23" s="7"/>
      <c r="F23" s="23"/>
    </row>
    <row r="24" spans="2:13" x14ac:dyDescent="0.25">
      <c r="B24" s="7"/>
      <c r="C24" s="7"/>
      <c r="D24" s="7"/>
      <c r="E24" s="7"/>
      <c r="F24" s="7"/>
    </row>
  </sheetData>
  <mergeCells count="7">
    <mergeCell ref="A6:I7"/>
    <mergeCell ref="A13:C14"/>
    <mergeCell ref="A16:C16"/>
    <mergeCell ref="D11:F11"/>
    <mergeCell ref="A8:H10"/>
    <mergeCell ref="E13:F13"/>
    <mergeCell ref="A15:C15"/>
  </mergeCells>
  <phoneticPr fontId="7" type="noConversion"/>
  <hyperlinks>
    <hyperlink ref="I13" location="Sheet2!A1" display="Dry sludge TS %"/>
  </hyperlinks>
  <printOptions horizontalCentered="1" verticalCentered="1"/>
  <pageMargins left="0.74803149606299213" right="0.74803149606299213" top="0.98425196850393704" bottom="0.98425196850393704" header="0.51181102362204722" footer="0.51181102362204722"/>
  <pageSetup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9"/>
  <sheetViews>
    <sheetView workbookViewId="0">
      <selection activeCell="C29" sqref="C29"/>
    </sheetView>
  </sheetViews>
  <sheetFormatPr defaultColWidth="14.44140625" defaultRowHeight="13.2" x14ac:dyDescent="0.25"/>
  <cols>
    <col min="1" max="1" width="4.44140625" style="1" bestFit="1" customWidth="1"/>
    <col min="2" max="2" width="13" style="1" bestFit="1" customWidth="1"/>
    <col min="3" max="3" width="19.44140625" style="1" bestFit="1" customWidth="1"/>
    <col min="4" max="4" width="17.109375" style="1" bestFit="1" customWidth="1"/>
    <col min="5" max="6" width="9.109375" style="1" bestFit="1" customWidth="1"/>
    <col min="7" max="16384" width="14.44140625" style="1"/>
  </cols>
  <sheetData>
    <row r="1" spans="1:15" ht="12.75" customHeight="1" x14ac:dyDescent="0.25"/>
    <row r="2" spans="1:15" ht="12.75" customHeight="1" x14ac:dyDescent="0.25"/>
    <row r="3" spans="1:15" ht="12.75" customHeight="1" x14ac:dyDescent="0.25">
      <c r="A3" s="4"/>
      <c r="B3" s="4"/>
      <c r="C3" s="4"/>
      <c r="D3" s="4"/>
    </row>
    <row r="4" spans="1:15" x14ac:dyDescent="0.25">
      <c r="A4" s="9" t="s">
        <v>15</v>
      </c>
      <c r="B4" s="9" t="s">
        <v>16</v>
      </c>
      <c r="C4" s="9" t="s">
        <v>17</v>
      </c>
      <c r="D4" s="9" t="s">
        <v>18</v>
      </c>
      <c r="E4" s="10" t="s">
        <v>19</v>
      </c>
      <c r="F4" s="10" t="s">
        <v>20</v>
      </c>
    </row>
    <row r="5" spans="1:15" ht="28.5" customHeight="1" x14ac:dyDescent="0.25">
      <c r="A5" s="24"/>
      <c r="B5" s="30"/>
      <c r="C5" s="30"/>
      <c r="D5" s="24"/>
      <c r="E5" s="33" t="str">
        <f>IFERROR(IF(OR(B5&lt;1,C5&lt;1,D5&lt;1),"",((D5-B5)/(C5-B5))),"")</f>
        <v/>
      </c>
      <c r="F5" s="34" t="str">
        <f>IFERROR(IF(E5=0,"",1-E5),"")</f>
        <v/>
      </c>
    </row>
    <row r="6" spans="1:15" x14ac:dyDescent="0.25">
      <c r="C6" s="4"/>
      <c r="D6" s="4"/>
      <c r="E6" s="11" t="str">
        <f>IFERROR(IF(OR(D5&lt;1,D6&lt;1),"",((D6-B5)/(D5-B5)*100)),"")</f>
        <v/>
      </c>
      <c r="F6" s="11" t="str">
        <f>IFERROR(IF(E6&lt;1,"",100-E6),"")</f>
        <v/>
      </c>
    </row>
    <row r="7" spans="1:15" x14ac:dyDescent="0.25">
      <c r="E7" s="10" t="s">
        <v>21</v>
      </c>
      <c r="F7" s="10" t="s">
        <v>5</v>
      </c>
    </row>
    <row r="12" spans="1:15" x14ac:dyDescent="0.25">
      <c r="B12" s="2"/>
      <c r="I12" s="51" t="s">
        <v>6</v>
      </c>
    </row>
    <row r="13" spans="1:15" ht="12.75" customHeight="1" x14ac:dyDescent="0.25">
      <c r="B13" s="2"/>
      <c r="I13" s="51"/>
      <c r="N13" s="50"/>
      <c r="O13" s="50"/>
    </row>
    <row r="14" spans="1:15" ht="12.75" customHeight="1" x14ac:dyDescent="0.25">
      <c r="B14" s="2"/>
      <c r="I14" s="51"/>
      <c r="N14" s="50"/>
      <c r="O14" s="50"/>
    </row>
    <row r="15" spans="1:15" ht="12.75" customHeight="1" x14ac:dyDescent="0.25">
      <c r="B15" s="2"/>
      <c r="N15" s="50"/>
      <c r="O15" s="50"/>
    </row>
    <row r="16" spans="1:15" ht="12.75" customHeight="1" x14ac:dyDescent="0.25">
      <c r="B16" s="2"/>
      <c r="N16" s="50"/>
      <c r="O16" s="50"/>
    </row>
    <row r="19" spans="6:6" x14ac:dyDescent="0.25">
      <c r="F19" s="3"/>
    </row>
  </sheetData>
  <sheetProtection algorithmName="SHA-512" hashValue="9flICQJ1m2sgztzaWbtf8g6ghCPQ5dzYwYEOL404/V00q679YmgROsiM1q72sn7AUhfbNwYNfO/VjQNUzdiZHQ==" saltValue="iAC+AQJuzjRWEwt3wqhJVA==" spinCount="100000" sheet="1" formatCells="0" formatColumns="0" formatRows="0"/>
  <mergeCells count="2">
    <mergeCell ref="N13:O16"/>
    <mergeCell ref="I12:I14"/>
  </mergeCells>
  <phoneticPr fontId="7" type="noConversion"/>
  <hyperlinks>
    <hyperlink ref="I12:I14" location="Sheet1!A1" display="رجوع"/>
  </hyperlink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TS%</vt:lpstr>
      <vt:lpstr>Main!Print_Area</vt:lpstr>
    </vt:vector>
  </TitlesOfParts>
  <Company>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cp:lastPrinted>2023-10-31T10:41:27Z</cp:lastPrinted>
  <dcterms:created xsi:type="dcterms:W3CDTF">2008-11-13T11:47:31Z</dcterms:created>
  <dcterms:modified xsi:type="dcterms:W3CDTF">2026-01-08T15:09:55Z</dcterms:modified>
</cp:coreProperties>
</file>