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3040" windowHeight="9192"/>
  </bookViews>
  <sheets>
    <sheet name="Main" sheetId="1" r:id="rId1"/>
    <sheet name="Sample" sheetId="46" r:id="rId2"/>
    <sheet name="RPD chart " sheetId="36" state="hidden" r:id="rId3"/>
    <sheet name="RPD chart Graph" sheetId="40" r:id="rId4"/>
  </sheets>
  <externalReferences>
    <externalReference r:id="rId5"/>
  </externalReferences>
  <definedNames>
    <definedName name="DATE1" localSheetId="1">OFFSET(#REF!,0,0,COUNTA(#REF!))</definedName>
    <definedName name="DATE2">OFFSET('RPD chart '!$A$2,0,0,COUNTA('RPD chart '!$A$2:$A$21))</definedName>
    <definedName name="HistData4">[1]Histogram!$A$1:$A$65536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'RPD chart '!$A$1:$I$28</definedName>
    <definedName name="_xlnm.Print_Area" localSheetId="3">'RPD chart Graph'!$A$1:$R$36</definedName>
    <definedName name="Range" localSheetId="1">OFFSET(#REF!,0,0,COUNTA(#REF!))</definedName>
    <definedName name="RPD">OFFSET('RPD chart '!$B$2,0,0,COUNTA('RPD chart '!$B$2:$B$21))</definedName>
  </definedNames>
  <calcPr calcId="162913"/>
</workbook>
</file>

<file path=xl/calcChain.xml><?xml version="1.0" encoding="utf-8"?>
<calcChain xmlns="http://schemas.openxmlformats.org/spreadsheetml/2006/main">
  <c r="S7" i="40" l="1"/>
  <c r="E7" i="46" l="1"/>
  <c r="E8" i="46"/>
  <c r="F8" i="46" s="1"/>
  <c r="E9" i="46"/>
  <c r="E10" i="46"/>
  <c r="E11" i="46"/>
  <c r="F11" i="46" s="1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6" i="46"/>
  <c r="H25" i="46"/>
  <c r="G25" i="46"/>
  <c r="H24" i="46"/>
  <c r="G24" i="46"/>
  <c r="H23" i="46"/>
  <c r="G23" i="46"/>
  <c r="H22" i="46"/>
  <c r="G22" i="46"/>
  <c r="H21" i="46"/>
  <c r="G21" i="46"/>
  <c r="H20" i="46"/>
  <c r="G20" i="46"/>
  <c r="H19" i="46"/>
  <c r="G19" i="46"/>
  <c r="H18" i="46"/>
  <c r="G18" i="46"/>
  <c r="H17" i="46"/>
  <c r="G17" i="46"/>
  <c r="H16" i="46"/>
  <c r="G16" i="46"/>
  <c r="H15" i="46"/>
  <c r="G15" i="46"/>
  <c r="H14" i="46"/>
  <c r="G14" i="46"/>
  <c r="H13" i="46"/>
  <c r="G13" i="46"/>
  <c r="H12" i="46"/>
  <c r="G12" i="46"/>
  <c r="H11" i="46"/>
  <c r="G11" i="46"/>
  <c r="H10" i="46"/>
  <c r="G10" i="46"/>
  <c r="H9" i="46"/>
  <c r="G9" i="46"/>
  <c r="H8" i="46"/>
  <c r="G8" i="46"/>
  <c r="H7" i="46"/>
  <c r="G7" i="46"/>
  <c r="H6" i="46"/>
  <c r="G6" i="46"/>
  <c r="F23" i="46"/>
  <c r="E6" i="1"/>
  <c r="E7" i="1"/>
  <c r="E8" i="1"/>
  <c r="E9" i="1"/>
  <c r="E10" i="1"/>
  <c r="F10" i="1" s="1"/>
  <c r="E11" i="1"/>
  <c r="E12" i="1"/>
  <c r="F12" i="1" s="1"/>
  <c r="E13" i="1"/>
  <c r="E14" i="1"/>
  <c r="E15" i="1"/>
  <c r="E16" i="1"/>
  <c r="E17" i="1"/>
  <c r="E18" i="1"/>
  <c r="E19" i="1"/>
  <c r="E20" i="1"/>
  <c r="E21" i="1"/>
  <c r="E22" i="1"/>
  <c r="E23" i="1"/>
  <c r="F23" i="1" s="1"/>
  <c r="E24" i="1"/>
  <c r="E25" i="1"/>
  <c r="G6" i="1"/>
  <c r="G7" i="1"/>
  <c r="G8" i="1"/>
  <c r="G9" i="1"/>
  <c r="G10" i="1"/>
  <c r="G11" i="1"/>
  <c r="G12" i="1"/>
  <c r="G13" i="1"/>
  <c r="H6" i="1"/>
  <c r="H7" i="1"/>
  <c r="H8" i="1"/>
  <c r="H9" i="1"/>
  <c r="I9" i="1" s="1"/>
  <c r="H10" i="1"/>
  <c r="I10" i="1" s="1"/>
  <c r="H11" i="1"/>
  <c r="I11" i="1" s="1"/>
  <c r="H12" i="1"/>
  <c r="I12" i="1" s="1"/>
  <c r="H13" i="1"/>
  <c r="H14" i="1"/>
  <c r="H15" i="1"/>
  <c r="I15" i="1" s="1"/>
  <c r="H16" i="1"/>
  <c r="I16" i="1" s="1"/>
  <c r="H17" i="1"/>
  <c r="I17" i="1" s="1"/>
  <c r="H18" i="1"/>
  <c r="H19" i="1"/>
  <c r="I19" i="1" s="1"/>
  <c r="H20" i="1"/>
  <c r="H21" i="1"/>
  <c r="I21" i="1" s="1"/>
  <c r="H22" i="1"/>
  <c r="H23" i="1"/>
  <c r="I23" i="1" s="1"/>
  <c r="H24" i="1"/>
  <c r="H25" i="1"/>
  <c r="G14" i="1"/>
  <c r="G15" i="1"/>
  <c r="G16" i="1"/>
  <c r="G17" i="1"/>
  <c r="G18" i="1"/>
  <c r="G19" i="1"/>
  <c r="G20" i="1"/>
  <c r="G21" i="1"/>
  <c r="G22" i="1"/>
  <c r="G23" i="1"/>
  <c r="G24" i="1"/>
  <c r="G25" i="1"/>
  <c r="I20" i="1"/>
  <c r="I18" i="1"/>
  <c r="I14" i="1"/>
  <c r="S11" i="40"/>
  <c r="J12" i="36"/>
  <c r="J9" i="36"/>
  <c r="J11" i="36"/>
  <c r="I20" i="36"/>
  <c r="I17" i="36"/>
  <c r="B21" i="36"/>
  <c r="B8" i="36"/>
  <c r="A6" i="36"/>
  <c r="A17" i="36"/>
  <c r="I10" i="36"/>
  <c r="A13" i="36"/>
  <c r="J5" i="36"/>
  <c r="J13" i="36"/>
  <c r="J10" i="36"/>
  <c r="I5" i="36"/>
  <c r="I14" i="36"/>
  <c r="I18" i="36"/>
  <c r="B16" i="36"/>
  <c r="B12" i="36"/>
  <c r="A7" i="36"/>
  <c r="A5" i="36"/>
  <c r="A2" i="36"/>
  <c r="A16" i="36"/>
  <c r="A11" i="36"/>
  <c r="B7" i="36"/>
  <c r="A4" i="36"/>
  <c r="J17" i="36"/>
  <c r="A14" i="36"/>
  <c r="J21" i="36"/>
  <c r="J19" i="36"/>
  <c r="I13" i="36"/>
  <c r="I7" i="36"/>
  <c r="I3" i="36"/>
  <c r="B19" i="36"/>
  <c r="B9" i="36"/>
  <c r="A15" i="36"/>
  <c r="A10" i="36"/>
  <c r="A3" i="36"/>
  <c r="I2" i="36"/>
  <c r="J6" i="36"/>
  <c r="J4" i="36"/>
  <c r="I21" i="36"/>
  <c r="I8" i="36"/>
  <c r="I4" i="36"/>
  <c r="B20" i="36"/>
  <c r="B17" i="36"/>
  <c r="A8" i="36"/>
  <c r="A18" i="36"/>
  <c r="B10" i="36"/>
  <c r="I19" i="36"/>
  <c r="B4" i="36"/>
  <c r="I6" i="36"/>
  <c r="J14" i="36"/>
  <c r="J8" i="36"/>
  <c r="I15" i="36"/>
  <c r="I11" i="36"/>
  <c r="B6" i="36"/>
  <c r="I9" i="36"/>
  <c r="A20" i="36"/>
  <c r="B15" i="36"/>
  <c r="A12" i="36"/>
  <c r="J7" i="36"/>
  <c r="J16" i="36"/>
  <c r="I16" i="36"/>
  <c r="I12" i="36"/>
  <c r="B5" i="36"/>
  <c r="B14" i="36"/>
  <c r="B18" i="36"/>
  <c r="A21" i="36"/>
  <c r="A19" i="36"/>
  <c r="J15" i="36"/>
  <c r="J18" i="36"/>
  <c r="B13" i="36"/>
  <c r="A9" i="36"/>
  <c r="J20" i="36"/>
  <c r="B11" i="36"/>
  <c r="B3" i="36"/>
  <c r="J3" i="36"/>
  <c r="B2" i="36"/>
  <c r="J2" i="36"/>
  <c r="F1" i="36" l="1"/>
  <c r="F7" i="1"/>
  <c r="I6" i="1"/>
  <c r="I7" i="1"/>
  <c r="I13" i="1"/>
  <c r="F25" i="46"/>
  <c r="I24" i="1"/>
  <c r="I22" i="1"/>
  <c r="I8" i="1"/>
  <c r="F24" i="46"/>
  <c r="F16" i="46"/>
  <c r="F20" i="46"/>
  <c r="F15" i="46"/>
  <c r="F12" i="46"/>
  <c r="F19" i="46"/>
  <c r="F7" i="46"/>
  <c r="F21" i="46"/>
  <c r="F22" i="46"/>
  <c r="F9" i="46"/>
  <c r="F18" i="46"/>
  <c r="F17" i="46"/>
  <c r="F14" i="46"/>
  <c r="F13" i="46"/>
  <c r="F20" i="1"/>
  <c r="F10" i="46"/>
  <c r="F24" i="1"/>
  <c r="F15" i="1"/>
  <c r="F6" i="46"/>
  <c r="F22" i="1"/>
  <c r="F14" i="1"/>
  <c r="F6" i="1"/>
  <c r="F18" i="1"/>
  <c r="I25" i="1"/>
  <c r="F25" i="1"/>
  <c r="F17" i="1"/>
  <c r="F16" i="1"/>
  <c r="F8" i="1"/>
  <c r="F19" i="1"/>
  <c r="F11" i="1"/>
  <c r="G27" i="46"/>
  <c r="G26" i="46"/>
  <c r="L25" i="46" s="1"/>
  <c r="G26" i="1"/>
  <c r="L24" i="1" s="1"/>
  <c r="G27" i="1"/>
  <c r="M3" i="46" s="1"/>
  <c r="I25" i="46" s="1"/>
  <c r="F21" i="1"/>
  <c r="F13" i="1"/>
  <c r="F9" i="1"/>
  <c r="I23" i="46" l="1"/>
  <c r="I24" i="46"/>
  <c r="L23" i="46"/>
  <c r="L24" i="46"/>
  <c r="I21" i="46"/>
  <c r="I22" i="46"/>
  <c r="L21" i="46"/>
  <c r="L22" i="46"/>
  <c r="I18" i="46"/>
  <c r="I20" i="46"/>
  <c r="L19" i="46"/>
  <c r="L20" i="46"/>
  <c r="I19" i="46"/>
  <c r="L17" i="46"/>
  <c r="L18" i="46"/>
  <c r="I15" i="46"/>
  <c r="I17" i="46"/>
  <c r="I16" i="46"/>
  <c r="L15" i="46"/>
  <c r="L16" i="46"/>
  <c r="I13" i="46"/>
  <c r="I14" i="46"/>
  <c r="L13" i="46"/>
  <c r="L14" i="46"/>
  <c r="I12" i="46"/>
  <c r="L8" i="46"/>
  <c r="L12" i="46"/>
  <c r="I10" i="46"/>
  <c r="I11" i="46"/>
  <c r="L11" i="46"/>
  <c r="L10" i="46"/>
  <c r="I6" i="46"/>
  <c r="I9" i="46"/>
  <c r="L9" i="46"/>
  <c r="I8" i="46"/>
  <c r="I7" i="46"/>
  <c r="L6" i="46"/>
  <c r="L7" i="46"/>
  <c r="L25" i="1"/>
  <c r="L22" i="1"/>
  <c r="L23" i="1"/>
  <c r="L19" i="1"/>
  <c r="L17" i="1"/>
  <c r="L6" i="1"/>
  <c r="L15" i="1"/>
  <c r="L13" i="1"/>
  <c r="L9" i="1"/>
  <c r="L11" i="1"/>
  <c r="K6" i="1"/>
  <c r="J13" i="1"/>
  <c r="J21" i="1"/>
  <c r="K9" i="1"/>
  <c r="K17" i="1"/>
  <c r="K25" i="1"/>
  <c r="J14" i="1"/>
  <c r="J22" i="1"/>
  <c r="K12" i="1"/>
  <c r="K20" i="1"/>
  <c r="L10" i="1"/>
  <c r="J7" i="1"/>
  <c r="J15" i="1"/>
  <c r="J23" i="1"/>
  <c r="K11" i="1"/>
  <c r="K19" i="1"/>
  <c r="J8" i="1"/>
  <c r="J16" i="1"/>
  <c r="J24" i="1"/>
  <c r="K14" i="1"/>
  <c r="K22" i="1"/>
  <c r="L18" i="1"/>
  <c r="L14" i="1"/>
  <c r="J9" i="1"/>
  <c r="J17" i="1"/>
  <c r="J25" i="1"/>
  <c r="K13" i="1"/>
  <c r="K21" i="1"/>
  <c r="J10" i="1"/>
  <c r="J18" i="1"/>
  <c r="K8" i="1"/>
  <c r="K16" i="1"/>
  <c r="K24" i="1"/>
  <c r="L16" i="1"/>
  <c r="L7" i="1"/>
  <c r="K7" i="1"/>
  <c r="J20" i="1"/>
  <c r="J11" i="1"/>
  <c r="K18" i="1"/>
  <c r="L8" i="1"/>
  <c r="K15" i="1"/>
  <c r="K10" i="1"/>
  <c r="K23" i="1"/>
  <c r="J19" i="1"/>
  <c r="J6" i="1"/>
  <c r="L20" i="1"/>
  <c r="J12" i="1"/>
  <c r="L12" i="1"/>
  <c r="L21" i="1"/>
  <c r="J25" i="46"/>
  <c r="J21" i="46"/>
  <c r="J17" i="46"/>
  <c r="J13" i="46"/>
  <c r="J9" i="46"/>
  <c r="K25" i="46"/>
  <c r="K21" i="46"/>
  <c r="K17" i="46"/>
  <c r="K13" i="46"/>
  <c r="K9" i="46"/>
  <c r="J24" i="46"/>
  <c r="J20" i="46"/>
  <c r="J16" i="46"/>
  <c r="J12" i="46"/>
  <c r="J8" i="46"/>
  <c r="K24" i="46"/>
  <c r="K20" i="46"/>
  <c r="K16" i="46"/>
  <c r="K12" i="46"/>
  <c r="K8" i="46"/>
  <c r="J23" i="46"/>
  <c r="J19" i="46"/>
  <c r="J15" i="46"/>
  <c r="J11" i="46"/>
  <c r="J7" i="46"/>
  <c r="K23" i="46"/>
  <c r="K19" i="46"/>
  <c r="K15" i="46"/>
  <c r="K11" i="46"/>
  <c r="K7" i="46"/>
  <c r="J18" i="46"/>
  <c r="K22" i="46"/>
  <c r="K6" i="46"/>
  <c r="K14" i="46"/>
  <c r="J14" i="46"/>
  <c r="K18" i="46"/>
  <c r="J10" i="46"/>
  <c r="J22" i="46"/>
  <c r="J6" i="46"/>
  <c r="K10" i="46"/>
  <c r="E2" i="36" l="1"/>
  <c r="E6" i="36"/>
  <c r="E14" i="36"/>
  <c r="E15" i="36"/>
  <c r="E7" i="36"/>
  <c r="E8" i="36"/>
  <c r="E16" i="36"/>
  <c r="E9" i="36"/>
  <c r="E17" i="36"/>
  <c r="E5" i="36"/>
  <c r="E10" i="36"/>
  <c r="E18" i="36"/>
  <c r="E3" i="36"/>
  <c r="E11" i="36"/>
  <c r="E19" i="36"/>
  <c r="E4" i="36"/>
  <c r="E12" i="36"/>
  <c r="E20" i="36"/>
  <c r="E13" i="36"/>
  <c r="E21" i="36"/>
  <c r="C2" i="36" l="1"/>
  <c r="C3" i="36" s="1"/>
  <c r="D2" i="36" l="1"/>
  <c r="D3" i="36" s="1"/>
  <c r="C4" i="36"/>
  <c r="D4" i="36" l="1"/>
  <c r="C5" i="36"/>
  <c r="C6" i="36" s="1"/>
  <c r="C7" i="36" s="1"/>
  <c r="D5" i="36" l="1"/>
  <c r="D6" i="36" s="1"/>
  <c r="D7" i="36" s="1"/>
  <c r="C8" i="36"/>
  <c r="D8" i="36" l="1"/>
  <c r="C9" i="36"/>
  <c r="D9" i="36" l="1"/>
  <c r="C10" i="36"/>
  <c r="D10" i="36" l="1"/>
  <c r="C11" i="36"/>
  <c r="D11" i="36" l="1"/>
  <c r="C12" i="36"/>
  <c r="C13" i="36" s="1"/>
  <c r="C14" i="36" s="1"/>
  <c r="C15" i="36" s="1"/>
  <c r="C16" i="36" s="1"/>
  <c r="C17" i="36" s="1"/>
  <c r="C18" i="36" s="1"/>
  <c r="C19" i="36" s="1"/>
  <c r="C20" i="36" s="1"/>
  <c r="C21" i="36" s="1"/>
  <c r="D12" i="36" l="1"/>
  <c r="D13" i="36" s="1"/>
  <c r="D14" i="36" s="1"/>
  <c r="D15" i="36" s="1"/>
  <c r="D16" i="36" s="1"/>
  <c r="D17" i="36" s="1"/>
  <c r="D18" i="36" s="1"/>
  <c r="D19" i="36" s="1"/>
  <c r="D20" i="36" s="1"/>
  <c r="D21" i="36" s="1"/>
</calcChain>
</file>

<file path=xl/sharedStrings.xml><?xml version="1.0" encoding="utf-8"?>
<sst xmlns="http://schemas.openxmlformats.org/spreadsheetml/2006/main" count="50" uniqueCount="25">
  <si>
    <t>Date</t>
  </si>
  <si>
    <t>x1</t>
  </si>
  <si>
    <t>x2</t>
  </si>
  <si>
    <t>Average</t>
  </si>
  <si>
    <t>RPD</t>
  </si>
  <si>
    <t>Insert Date, X1 read, and X2 read only</t>
  </si>
  <si>
    <t>from othe sheets</t>
  </si>
  <si>
    <t>after recording all sample reading print graph</t>
  </si>
  <si>
    <t>Acceptance</t>
  </si>
  <si>
    <t>Diference</t>
  </si>
  <si>
    <t>Acceptance2</t>
  </si>
  <si>
    <t>2.8*Standard deviation</t>
  </si>
  <si>
    <t>R=</t>
  </si>
  <si>
    <t>record in M3</t>
  </si>
  <si>
    <t>x-x1</t>
  </si>
  <si>
    <t>x-x2</t>
  </si>
  <si>
    <t>Mean</t>
  </si>
  <si>
    <t>Recovery</t>
  </si>
  <si>
    <t>r</t>
  </si>
  <si>
    <t xml:space="preserve">                 </t>
  </si>
  <si>
    <t>WL</t>
  </si>
  <si>
    <t>CL</t>
  </si>
  <si>
    <t>pH</t>
  </si>
  <si>
    <t>Main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</si>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</sst>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"/>
    <numFmt numFmtId="166" formatCode="dd\/mm\/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theme="0"/>
      <name val="Calibri"/>
      <family val="2"/>
      <scheme val="minor"/>
    </font>
    <font>
      <b/>
      <sz val="8"/>
      <color rgb="FF0A0A0A"/>
      <name val="Arial Unicode MS"/>
    </font>
    <font>
      <b/>
      <sz val="18"/>
      <color rgb="FF000000"/>
      <name val="Albertu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9" fontId="0" fillId="0" borderId="0" xfId="1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16" fontId="0" fillId="0" borderId="0" xfId="0" applyNumberFormat="1" applyAlignment="1" applyProtection="1">
      <alignment horizontal="center" vertical="center"/>
      <protection locked="0" hidden="1"/>
    </xf>
    <xf numFmtId="14" fontId="0" fillId="0" borderId="0" xfId="0" applyNumberFormat="1" applyProtection="1">
      <protection locked="0" hidden="1"/>
    </xf>
    <xf numFmtId="16" fontId="0" fillId="0" borderId="0" xfId="0" applyNumberFormat="1" applyAlignment="1" applyProtection="1">
      <alignment horizontal="center"/>
      <protection locked="0" hidden="1"/>
    </xf>
    <xf numFmtId="2" fontId="0" fillId="0" borderId="0" xfId="0" applyNumberFormat="1" applyProtection="1">
      <protection locked="0" hidden="1"/>
    </xf>
    <xf numFmtId="0" fontId="0" fillId="0" borderId="0" xfId="0" applyAlignment="1" applyProtection="1">
      <alignment horizontal="center"/>
      <protection hidden="1"/>
    </xf>
    <xf numFmtId="164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0" fontId="0" fillId="0" borderId="0" xfId="0" applyProtection="1">
      <protection locked="0" hidden="1"/>
    </xf>
    <xf numFmtId="166" fontId="0" fillId="0" borderId="0" xfId="0" applyNumberFormat="1" applyAlignment="1" applyProtection="1">
      <alignment horizontal="center" vertical="center"/>
      <protection locked="0" hidden="1"/>
    </xf>
    <xf numFmtId="2" fontId="0" fillId="0" borderId="0" xfId="0" applyNumberFormat="1" applyAlignment="1" applyProtection="1">
      <alignment horizontal="center" vertical="center"/>
      <protection hidden="1"/>
    </xf>
    <xf numFmtId="0" fontId="7" fillId="0" borderId="0" xfId="0" applyFont="1"/>
    <xf numFmtId="0" fontId="8" fillId="0" borderId="0" xfId="0" applyFont="1" applyAlignment="1">
      <alignment horizontal="center" vertical="center" readingOrder="1"/>
    </xf>
    <xf numFmtId="0" fontId="6" fillId="0" borderId="0" xfId="0" applyFont="1" applyProtection="1">
      <protection locked="0" hidden="1"/>
    </xf>
    <xf numFmtId="0" fontId="6" fillId="0" borderId="0" xfId="0" applyFont="1" applyProtection="1">
      <protection hidden="1"/>
    </xf>
    <xf numFmtId="0" fontId="0" fillId="0" borderId="0" xfId="0" applyProtection="1">
      <protection locked="0" hidden="1"/>
    </xf>
    <xf numFmtId="2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0" fontId="6" fillId="0" borderId="0" xfId="0" applyFont="1" applyFill="1" applyProtection="1">
      <protection hidden="1"/>
    </xf>
    <xf numFmtId="0" fontId="6" fillId="0" borderId="0" xfId="0" applyFont="1" applyFill="1" applyAlignment="1" applyProtection="1">
      <alignment horizontal="center" vertical="center"/>
      <protection hidden="1"/>
    </xf>
    <xf numFmtId="0" fontId="6" fillId="0" borderId="0" xfId="0" applyFont="1"/>
    <xf numFmtId="0" fontId="0" fillId="0" borderId="0" xfId="0" applyProtection="1">
      <protection locked="0" hidden="1"/>
    </xf>
  </cellXfs>
  <cellStyles count="6">
    <cellStyle name="Hyperlink 2" xfId="3"/>
    <cellStyle name="Normal" xfId="0" builtinId="0"/>
    <cellStyle name="Normal 2" xfId="2"/>
    <cellStyle name="Normal 2 2" xfId="5"/>
    <cellStyle name="Percent" xfId="1" builtinId="5"/>
    <cellStyle name="Percent 2" xfId="4"/>
  </cellStyles>
  <dxfs count="46"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numFmt numFmtId="2" formatCode="0.00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numFmt numFmtId="2" formatCode="0.00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165" formatCode="0.0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21" formatCode="d\-mmm"/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0" formatCode="General"/>
      <alignment horizontal="center" vertical="center" textRotation="0" wrapText="0" indent="0" justifyLastLine="0" shrinkToFit="0" readingOrder="0"/>
      <protection locked="1" hidden="1"/>
    </dxf>
    <dxf>
      <numFmt numFmtId="165" formatCode="0.0"/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numFmt numFmtId="166" formatCode="dd\/mm\/yyyy"/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alignment horizontal="center" vertical="center" textRotation="0" wrapText="0" indent="0" justifyLastLine="0" shrinkToFit="0" readingOrder="0"/>
      <protection locked="0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'RPD chart Graph'!$S$11</c:f>
          <c:strCache>
            <c:ptCount val="1"/>
            <c:pt idx="0">
              <c:v>Main pH RPD Chart</c:v>
            </c:pt>
          </c:strCache>
        </c:strRef>
      </c:tx>
      <c:layout/>
      <c:overlay val="0"/>
      <c:txPr>
        <a:bodyPr/>
        <a:lstStyle/>
        <a:p>
          <a:pPr>
            <a:defRPr sz="1800" b="1" i="0">
              <a:solidFill>
                <a:srgbClr val="000000"/>
              </a:solidFill>
              <a:latin typeface="Albertus" panose="020E07020403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201067001710916E-2"/>
          <c:y val="0.11004900860441007"/>
          <c:w val="0.77508144097581633"/>
          <c:h val="0.6984107109686768"/>
        </c:manualLayout>
      </c:layout>
      <c:lineChart>
        <c:grouping val="standard"/>
        <c:varyColors val="0"/>
        <c:ser>
          <c:idx val="0"/>
          <c:order val="0"/>
          <c:tx>
            <c:strRef>
              <c:f>'RPD chart '!$J$1</c:f>
              <c:strCache>
                <c:ptCount val="1"/>
                <c:pt idx="0">
                  <c:v>RPD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'RPD chart '!$I$1:$I$21</c15:sqref>
                  </c15:fullRef>
                </c:ext>
              </c:extLst>
              <c:f>'RPD chart '!$I$2:$I$21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'RPD chart '!$J$2:$J$21</c15:sqref>
                  </c15:fullRef>
                </c:ext>
              </c:extLst>
              <c:f>'RPD chart '!$J$3:$J$21</c:f>
              <c:numCache>
                <c:formatCode>0.00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0-4B1A-9A52-A405A19E843F}"/>
            </c:ext>
          </c:extLst>
        </c:ser>
        <c:ser>
          <c:idx val="1"/>
          <c:order val="1"/>
          <c:tx>
            <c:strRef>
              <c:f>'RPD chart '!$C$1</c:f>
              <c:strCache>
                <c:ptCount val="1"/>
                <c:pt idx="0">
                  <c:v>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658686838790499E-2"/>
                  <c:y val="-2.09214843051802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F0-4B1A-9A52-A405A19E843F}"/>
                </c:ext>
              </c:extLst>
            </c:dLbl>
            <c:dLbl>
              <c:idx val="17"/>
              <c:layout>
                <c:manualLayout>
                  <c:x val="-1.3658686838790499E-2"/>
                  <c:y val="-2.0921484305180208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F0-4B1A-9A52-A405A19E84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'RPD chart '!$I$1:$I$21</c15:sqref>
                  </c15:fullRef>
                </c:ext>
              </c:extLst>
              <c:f>'RPD chart '!$I$2:$I$21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'RPD chart '!$C$2:$C$21</c15:sqref>
                  </c15:fullRef>
                </c:ext>
              </c:extLst>
              <c:f>'RPD chart '!$C$3:$C$21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0-4B1A-9A52-A405A19E843F}"/>
            </c:ext>
          </c:extLst>
        </c:ser>
        <c:ser>
          <c:idx val="2"/>
          <c:order val="2"/>
          <c:tx>
            <c:strRef>
              <c:f>'RPD chart '!$D$1</c:f>
              <c:strCache>
                <c:ptCount val="1"/>
                <c:pt idx="0">
                  <c:v>WL</c:v>
                </c:pt>
              </c:strCache>
            </c:strRef>
          </c:tx>
          <c:spPr>
            <a:ln w="12700" cap="rnd" cmpd="sng" algn="ctr">
              <a:solidFill>
                <a:srgbClr val="FF808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'RPD chart '!$I$1:$I$21</c15:sqref>
                  </c15:fullRef>
                </c:ext>
              </c:extLst>
              <c:f>'RPD chart '!$I$2:$I$21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'RPD chart '!$D$2:$D$21</c15:sqref>
                  </c15:fullRef>
                </c:ext>
              </c:extLst>
              <c:f>'RPD chart '!$D$3:$D$21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0-4B1A-9A52-A405A19E843F}"/>
            </c:ext>
          </c:extLst>
        </c:ser>
        <c:ser>
          <c:idx val="4"/>
          <c:order val="3"/>
          <c:tx>
            <c:strRef>
              <c:f>'RPD chart '!$E$1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80579470367749E-2"/>
                  <c:y val="-1.16827768506177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RPD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9F0-4B1A-9A52-A405A19E843F}"/>
                </c:ext>
              </c:extLst>
            </c:dLbl>
            <c:dLbl>
              <c:idx val="17"/>
              <c:layout>
                <c:manualLayout>
                  <c:x val="-1.3658686838790499E-2"/>
                  <c:y val="-2.0921484305180208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9F0-4B1A-9A52-A405A19E84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'RPD chart '!$I$1:$I$21</c15:sqref>
                  </c15:fullRef>
                </c:ext>
              </c:extLst>
              <c:f>'RPD chart '!$I$2:$I$21</c:f>
              <c:strCache>
                <c:ptCount val="0"/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'RPD chart '!$E$2:$E$21</c15:sqref>
                  </c15:fullRef>
                </c:ext>
              </c:extLst>
              <c:f>'RPD chart '!$E$3:$E$21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F0-4B1A-9A52-A405A19E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37088"/>
        <c:axId val="94939008"/>
        <c:extLst/>
      </c:lineChart>
      <c:dateAx>
        <c:axId val="9493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Albertus" panose="020E0702040304020204" pitchFamily="34" charset="0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Albertus" panose="020E0702040304020204" pitchFamily="34" charset="0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43143305044067937"/>
              <c:y val="0.95320038231351945"/>
            </c:manualLayout>
          </c:layout>
          <c:overlay val="0"/>
        </c:title>
        <c:numFmt formatCode="General" sourceLinked="1"/>
        <c:majorTickMark val="none"/>
        <c:minorTickMark val="out"/>
        <c:tickLblPos val="nextTo"/>
        <c:spPr>
          <a:ln/>
        </c:spPr>
        <c:txPr>
          <a:bodyPr rot="-3420000" vert="horz"/>
          <a:lstStyle/>
          <a:p>
            <a:pPr>
              <a:defRPr/>
            </a:pPr>
            <a:endParaRPr lang="en-US"/>
          </a:p>
        </c:txPr>
        <c:crossAx val="94939008"/>
        <c:crosses val="autoZero"/>
        <c:auto val="0"/>
        <c:lblOffset val="100"/>
        <c:baseTimeUnit val="days"/>
      </c:dateAx>
      <c:valAx>
        <c:axId val="94939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Albertus" panose="020E0702040304020204" pitchFamily="34" charset="0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Albertus" panose="020E0702040304020204" pitchFamily="34" charset="0"/>
                  </a:rPr>
                  <a:t>RPD</a:t>
                </a:r>
              </a:p>
            </c:rich>
          </c:tx>
          <c:layout>
            <c:manualLayout>
              <c:xMode val="edge"/>
              <c:yMode val="edge"/>
              <c:x val="1.3346417025614348E-2"/>
              <c:y val="0.4264145522696666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949370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18</xdr:col>
      <xdr:colOff>12700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8ACAF-8BBA-46E3-AB96-74DE2B178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1200D5A3\knowware_share\Users\Nick\Desktop\Histog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 CC"/>
      <sheetName val="Histogram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id="2" name="Table2" displayName="Table2" ref="B5:L26" totalsRowCount="1" headerRowDxfId="45" dataDxfId="44">
  <autoFilter ref="B5:L25"/>
  <tableColumns count="11">
    <tableColumn id="1" name="Date" dataDxfId="43" totalsRowDxfId="9"/>
    <tableColumn id="2" name="x1" dataDxfId="42" totalsRowDxfId="8"/>
    <tableColumn id="3" name="x2" dataDxfId="41" totalsRowDxfId="7"/>
    <tableColumn id="4" name="RPD" dataDxfId="40" totalsRowDxfId="6">
      <calculatedColumnFormula>IFERROR(ABS(Table2[[#This Row],[x2]]-Table2[[#This Row],[x1]])*100/AVERAGE(Table2[[#This Row],[x1]]:Table2[[#This Row],[x2]]),"")</calculatedColumnFormula>
    </tableColumn>
    <tableColumn id="8" name="Acceptance" totalsRowLabel="Mean" dataDxfId="39" totalsRowDxfId="5">
      <calculatedColumnFormula>IF(ISBLANK(Table2[[#This Row],[Date]]),"",IF(Table2[[#This Row],[RPD]]&gt;10,"N","Y"))</calculatedColumnFormula>
    </tableColumn>
    <tableColumn id="5" name="Average" totalsRowFunction="custom" dataDxfId="38" totalsRowDxfId="4">
      <calculatedColumnFormula>IF(ISBLANK(Table2[[#This Row],[x1]]),"",AVERAGE(Table2[[#This Row],[x1]:[x2]]))</calculatedColumnFormula>
      <totalsRowFormula>IFERROR(AVERAGE(Table2[Average]),"")</totalsRowFormula>
    </tableColumn>
    <tableColumn id="6" name="Diference" dataDxfId="37" totalsRowDxfId="3">
      <calculatedColumnFormula>IF(ISBLANK(Table2[[#This Row],[x1]]),"",ABS(Table2[[#This Row],[x1]]-Table2[[#This Row],[x2]]))</calculatedColumnFormula>
    </tableColumn>
    <tableColumn id="7" name="Acceptance2" dataDxfId="36" totalsRowDxfId="2">
      <calculatedColumnFormula>IF(Table2[[#This Row],[Date]]="","",IF(Table2[[#This Row],[Diference]]&gt;$M$3,"N","Y"))</calculatedColumnFormula>
    </tableColumn>
    <tableColumn id="9" name="x-x1" dataDxfId="35" totalsRowDxfId="1">
      <calculatedColumnFormula>IFERROR(IF(ISBLANK(Table2[[#This Row],[Date]]),"",$G$26-Table2[[#This Row],[x1]])/$G$26,"")</calculatedColumnFormula>
    </tableColumn>
    <tableColumn id="10" name="x-x2" dataDxfId="34" totalsRowDxfId="0">
      <calculatedColumnFormula>IFERROR(IF(ISBLANK(Table2[[#This Row],[Date]]),"",$G$26-Table2[[#This Row],[x2]])/$G$26,"")</calculatedColumnFormula>
    </tableColumn>
    <tableColumn id="11" name="Recovery" dataDxfId="33">
      <calculatedColumnFormula>IFERROR(IF(ISBLANK(Table2[[#This Row],[Date]]),"",Table2[[#This Row],[Average]]/$G$26),"")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B5:L26" totalsRowCount="1" headerRowDxfId="32" dataDxfId="31">
  <autoFilter ref="B5:L25"/>
  <tableColumns count="11">
    <tableColumn id="1" name="Date" dataDxfId="30" totalsRowDxfId="19"/>
    <tableColumn id="2" name="x1" dataDxfId="29" totalsRowDxfId="18"/>
    <tableColumn id="3" name="x2" dataDxfId="28" totalsRowDxfId="17"/>
    <tableColumn id="4" name="RPD" dataDxfId="27" totalsRowDxfId="16">
      <calculatedColumnFormula>IFERROR(ABS(Table22[[#This Row],[x2]]-Table22[[#This Row],[x1]])*100/AVERAGE(Table22[[#This Row],[x1]]:Table22[[#This Row],[x2]]),"")</calculatedColumnFormula>
    </tableColumn>
    <tableColumn id="8" name="Acceptance" totalsRowLabel="Mean" dataDxfId="26" totalsRowDxfId="15">
      <calculatedColumnFormula>IF(ISBLANK(Table22[[#This Row],[Date]]),"",IF(Table22[[#This Row],[RPD]]&gt;10,"N","Y"))</calculatedColumnFormula>
    </tableColumn>
    <tableColumn id="5" name="Average" totalsRowFunction="custom" dataDxfId="25" totalsRowDxfId="14">
      <calculatedColumnFormula>IF(ISBLANK(Table22[[#This Row],[x1]]),"",AVERAGE(Table22[[#This Row],[x1]:[x2]]))</calculatedColumnFormula>
      <totalsRowFormula>IFERROR(AVERAGE(Table22[Average]),"")</totalsRowFormula>
    </tableColumn>
    <tableColumn id="6" name="Diference" dataDxfId="24" totalsRowDxfId="13">
      <calculatedColumnFormula>IF(ISBLANK(Table22[[#This Row],[x1]]),"",ABS(Table22[[#This Row],[x1]]-Table22[[#This Row],[x2]]))</calculatedColumnFormula>
    </tableColumn>
    <tableColumn id="7" name="Acceptance2" dataDxfId="23" totalsRowDxfId="12">
      <calculatedColumnFormula>IF(Table22[[#This Row],[Date]]="","",IF(Table22[[#This Row],[Diference]]&gt;$M$3,"N","Y"))</calculatedColumnFormula>
    </tableColumn>
    <tableColumn id="9" name="x-x1" dataDxfId="22" totalsRowDxfId="11">
      <calculatedColumnFormula>IFERROR(IF(ISBLANK(Table22[[#This Row],[Date]]),"",$G$26-Table22[[#This Row],[x1]])/$G$26,"")</calculatedColumnFormula>
    </tableColumn>
    <tableColumn id="10" name="x-x2" dataDxfId="21" totalsRowDxfId="10">
      <calculatedColumnFormula>IFERROR(IF(ISBLANK(Table22[[#This Row],[Date]]),"",$G$26-Table22[[#This Row],[x2]])/$G$26,"")</calculatedColumnFormula>
    </tableColumn>
    <tableColumn id="11" name="Recovery" dataDxfId="20">
      <calculatedColumnFormula>IFERROR(IF(ISBLANK(Table22[[#This Row],[Date]]),"",Table22[[#This Row],[Average]]/$G$26),"")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54"/>
  <sheetViews>
    <sheetView tabSelected="1" workbookViewId="0">
      <selection activeCell="N12" sqref="N12"/>
    </sheetView>
  </sheetViews>
  <sheetFormatPr defaultColWidth="9.109375" defaultRowHeight="14.4"/>
  <cols>
    <col min="1" max="1" width="9.109375" style="7"/>
    <col min="2" max="2" width="11" style="7" bestFit="1" customWidth="1"/>
    <col min="3" max="5" width="9.109375" style="7"/>
    <col min="6" max="6" width="15" style="7" bestFit="1" customWidth="1"/>
    <col min="7" max="7" width="12.21875" style="7" bestFit="1" customWidth="1"/>
    <col min="8" max="8" width="13.33203125" style="7" bestFit="1" customWidth="1"/>
    <col min="9" max="9" width="16.21875" style="7" bestFit="1" customWidth="1"/>
    <col min="10" max="11" width="9.109375" style="7"/>
    <col min="12" max="12" width="21.77734375" style="7" bestFit="1" customWidth="1"/>
    <col min="13" max="13" width="9.33203125" style="11" bestFit="1" customWidth="1"/>
    <col min="14" max="16384" width="9.109375" style="7"/>
  </cols>
  <sheetData>
    <row r="1" spans="1:14" ht="18">
      <c r="A1" s="3" t="s">
        <v>5</v>
      </c>
      <c r="M1" s="7"/>
    </row>
    <row r="2" spans="1:14" ht="18">
      <c r="A2" s="3" t="s">
        <v>7</v>
      </c>
      <c r="G2" s="30" t="s">
        <v>19</v>
      </c>
      <c r="H2" s="30"/>
      <c r="I2" s="30"/>
      <c r="J2" s="30"/>
      <c r="K2" s="2" t="s">
        <v>12</v>
      </c>
      <c r="L2" s="2" t="s">
        <v>11</v>
      </c>
      <c r="M2" s="7"/>
    </row>
    <row r="3" spans="1:14" ht="18">
      <c r="A3" s="3" t="s">
        <v>6</v>
      </c>
      <c r="C3" s="22" t="s">
        <v>22</v>
      </c>
      <c r="G3" s="30"/>
      <c r="H3" s="30"/>
      <c r="I3" s="30"/>
      <c r="J3" s="30"/>
      <c r="K3" s="2" t="s">
        <v>13</v>
      </c>
      <c r="M3" s="8">
        <v>49.2</v>
      </c>
    </row>
    <row r="4" spans="1:14">
      <c r="M4" s="7"/>
    </row>
    <row r="5" spans="1:14">
      <c r="A5" s="24"/>
      <c r="B5" s="8" t="s">
        <v>0</v>
      </c>
      <c r="C5" s="8" t="s">
        <v>1</v>
      </c>
      <c r="D5" s="8" t="s">
        <v>2</v>
      </c>
      <c r="E5" s="6" t="s">
        <v>4</v>
      </c>
      <c r="F5" s="4" t="s">
        <v>8</v>
      </c>
      <c r="G5" s="4" t="s">
        <v>3</v>
      </c>
      <c r="H5" s="4" t="s">
        <v>9</v>
      </c>
      <c r="I5" s="4" t="s">
        <v>10</v>
      </c>
      <c r="J5" s="8" t="s">
        <v>14</v>
      </c>
      <c r="K5" s="8" t="s">
        <v>15</v>
      </c>
      <c r="L5" s="8" t="s">
        <v>17</v>
      </c>
      <c r="M5" s="7"/>
      <c r="N5" s="9"/>
    </row>
    <row r="6" spans="1:14">
      <c r="A6" s="24"/>
      <c r="B6" s="18"/>
      <c r="C6" s="8"/>
      <c r="D6" s="8"/>
      <c r="E6" s="5" t="str">
        <f>IFERROR(ABS(Table2[[#This Row],[x2]]-Table2[[#This Row],[x1]])*100/AVERAGE(Table2[[#This Row],[x1]]:Table2[[#This Row],[x2]]),"")</f>
        <v/>
      </c>
      <c r="F6" s="4" t="str">
        <f>IF(ISBLANK(Table2[[#This Row],[Date]]),"",IF(Table2[[#This Row],[RPD]]&gt;10,"N","Y"))</f>
        <v/>
      </c>
      <c r="G6" s="4" t="str">
        <f>IF(ISBLANK(Table2[[#This Row],[x1]]),"",AVERAGE(Table2[[#This Row],[x1]:[x2]]))</f>
        <v/>
      </c>
      <c r="H6" s="4" t="str">
        <f>IF(ISBLANK(Table2[[#This Row],[x1]]),"",ABS(Table2[[#This Row],[x1]]-Table2[[#This Row],[x2]]))</f>
        <v/>
      </c>
      <c r="I6" s="4" t="str">
        <f>IF(Table2[[#This Row],[Date]]="","",IF(Table2[[#This Row],[Diference]]&gt;$M$3,"N","Y"))</f>
        <v/>
      </c>
      <c r="J6" s="6" t="str">
        <f>IFERROR(IF(ISBLANK(Table2[[#This Row],[Date]]),"",$G$26-Table2[[#This Row],[x1]])/$G$26,"")</f>
        <v/>
      </c>
      <c r="K6" s="6" t="str">
        <f>IFERROR(IF(ISBLANK(Table2[[#This Row],[Date]]),"",$G$26-Table2[[#This Row],[x2]])/$G$26,"")</f>
        <v/>
      </c>
      <c r="L6" s="6" t="str">
        <f>IFERROR(IF(ISBLANK(Table2[[#This Row],[Date]]),"",Table2[[#This Row],[Average]]/$G$26),"")</f>
        <v/>
      </c>
      <c r="M6" s="7"/>
      <c r="N6" s="9"/>
    </row>
    <row r="7" spans="1:14">
      <c r="B7" s="18"/>
      <c r="C7" s="1"/>
      <c r="D7" s="1"/>
      <c r="E7" s="5" t="str">
        <f>IFERROR(ABS(Table2[[#This Row],[x2]]-Table2[[#This Row],[x1]])*100/AVERAGE(Table2[[#This Row],[x1]]:Table2[[#This Row],[x2]]),"")</f>
        <v/>
      </c>
      <c r="F7" s="4" t="str">
        <f>IF(ISBLANK(Table2[[#This Row],[Date]]),"",IF(Table2[[#This Row],[RPD]]&gt;10,"N","Y"))</f>
        <v/>
      </c>
      <c r="G7" s="4" t="str">
        <f>IF(ISBLANK(Table2[[#This Row],[x1]]),"",AVERAGE(Table2[[#This Row],[x1]:[x2]]))</f>
        <v/>
      </c>
      <c r="H7" s="4" t="str">
        <f>IF(ISBLANK(Table2[[#This Row],[x1]]),"",ABS(Table2[[#This Row],[x1]]-Table2[[#This Row],[x2]]))</f>
        <v/>
      </c>
      <c r="I7" s="4" t="str">
        <f>IF(Table2[[#This Row],[Date]]="","",IF(Table2[[#This Row],[Diference]]&gt;$M$3,"N","Y"))</f>
        <v/>
      </c>
      <c r="J7" s="6" t="str">
        <f>IFERROR(IF(ISBLANK(Table2[[#This Row],[Date]]),"",$G$26-Table2[[#This Row],[x1]])/$G$26,"")</f>
        <v/>
      </c>
      <c r="K7" s="6" t="str">
        <f>IFERROR(IF(ISBLANK(Table2[[#This Row],[Date]]),"",$G$26-Table2[[#This Row],[x2]])/$G$26,"")</f>
        <v/>
      </c>
      <c r="L7" s="6" t="str">
        <f>IFERROR(IF(ISBLANK(Table2[[#This Row],[Date]]),"",Table2[[#This Row],[Average]]/$G$26),"")</f>
        <v/>
      </c>
      <c r="M7" s="7"/>
      <c r="N7" s="9"/>
    </row>
    <row r="8" spans="1:14">
      <c r="B8" s="18"/>
      <c r="C8" s="8"/>
      <c r="D8" s="8"/>
      <c r="E8" s="5" t="str">
        <f>IFERROR(ABS(Table2[[#This Row],[x2]]-Table2[[#This Row],[x1]])*100/AVERAGE(Table2[[#This Row],[x1]]:Table2[[#This Row],[x2]]),"")</f>
        <v/>
      </c>
      <c r="F8" s="4" t="str">
        <f>IF(ISBLANK(Table2[[#This Row],[Date]]),"",IF(Table2[[#This Row],[RPD]]&gt;10,"N","Y"))</f>
        <v/>
      </c>
      <c r="G8" s="4" t="str">
        <f>IF(ISBLANK(Table2[[#This Row],[x1]]),"",AVERAGE(Table2[[#This Row],[x1]:[x2]]))</f>
        <v/>
      </c>
      <c r="H8" s="4" t="str">
        <f>IF(ISBLANK(Table2[[#This Row],[x1]]),"",ABS(Table2[[#This Row],[x1]]-Table2[[#This Row],[x2]]))</f>
        <v/>
      </c>
      <c r="I8" s="4" t="str">
        <f>IF(Table2[[#This Row],[Date]]="","",IF(Table2[[#This Row],[Diference]]&gt;$M$3,"N","Y"))</f>
        <v/>
      </c>
      <c r="J8" s="6" t="str">
        <f>IFERROR(IF(ISBLANK(Table2[[#This Row],[Date]]),"",$G$26-Table2[[#This Row],[x1]])/$G$26,"")</f>
        <v/>
      </c>
      <c r="K8" s="6" t="str">
        <f>IFERROR(IF(ISBLANK(Table2[[#This Row],[Date]]),"",$G$26-Table2[[#This Row],[x2]])/$G$26,"")</f>
        <v/>
      </c>
      <c r="L8" s="6" t="str">
        <f>IFERROR(IF(ISBLANK(Table2[[#This Row],[Date]]),"",Table2[[#This Row],[Average]]/$G$26),"")</f>
        <v/>
      </c>
      <c r="M8" s="7"/>
      <c r="N8" s="9"/>
    </row>
    <row r="9" spans="1:14">
      <c r="B9" s="18"/>
      <c r="C9" s="8"/>
      <c r="D9" s="8"/>
      <c r="E9" s="5" t="str">
        <f>IFERROR(ABS(Table2[[#This Row],[x2]]-Table2[[#This Row],[x1]])*100/AVERAGE(Table2[[#This Row],[x1]]:Table2[[#This Row],[x2]]),"")</f>
        <v/>
      </c>
      <c r="F9" s="4" t="str">
        <f>IF(ISBLANK(Table2[[#This Row],[Date]]),"",IF(Table2[[#This Row],[RPD]]&gt;10,"N","Y"))</f>
        <v/>
      </c>
      <c r="G9" s="4" t="str">
        <f>IF(ISBLANK(Table2[[#This Row],[x1]]),"",AVERAGE(Table2[[#This Row],[x1]:[x2]]))</f>
        <v/>
      </c>
      <c r="H9" s="4" t="str">
        <f>IF(ISBLANK(Table2[[#This Row],[x1]]),"",ABS(Table2[[#This Row],[x1]]-Table2[[#This Row],[x2]]))</f>
        <v/>
      </c>
      <c r="I9" s="4" t="str">
        <f>IF(Table2[[#This Row],[Date]]="","",IF(Table2[[#This Row],[Diference]]&gt;$M$3,"N","Y"))</f>
        <v/>
      </c>
      <c r="J9" s="6" t="str">
        <f>IFERROR(IF(ISBLANK(Table2[[#This Row],[Date]]),"",$G$26-Table2[[#This Row],[x1]])/$G$26,"")</f>
        <v/>
      </c>
      <c r="K9" s="6" t="str">
        <f>IFERROR(IF(ISBLANK(Table2[[#This Row],[Date]]),"",$G$26-Table2[[#This Row],[x2]])/$G$26,"")</f>
        <v/>
      </c>
      <c r="L9" s="6" t="str">
        <f>IFERROR(IF(ISBLANK(Table2[[#This Row],[Date]]),"",Table2[[#This Row],[Average]]/$G$26),"")</f>
        <v/>
      </c>
      <c r="M9" s="7"/>
      <c r="N9" s="9"/>
    </row>
    <row r="10" spans="1:14">
      <c r="B10" s="18"/>
      <c r="C10" s="8"/>
      <c r="D10" s="8"/>
      <c r="E10" s="5" t="str">
        <f>IFERROR(ABS(Table2[[#This Row],[x2]]-Table2[[#This Row],[x1]])*100/AVERAGE(Table2[[#This Row],[x1]]:Table2[[#This Row],[x2]]),"")</f>
        <v/>
      </c>
      <c r="F10" s="4" t="str">
        <f>IF(ISBLANK(Table2[[#This Row],[Date]]),"",IF(Table2[[#This Row],[RPD]]&gt;10,"N","Y"))</f>
        <v/>
      </c>
      <c r="G10" s="4" t="str">
        <f>IF(ISBLANK(Table2[[#This Row],[x1]]),"",AVERAGE(Table2[[#This Row],[x1]:[x2]]))</f>
        <v/>
      </c>
      <c r="H10" s="4" t="str">
        <f>IF(ISBLANK(Table2[[#This Row],[x1]]),"",ABS(Table2[[#This Row],[x1]]-Table2[[#This Row],[x2]]))</f>
        <v/>
      </c>
      <c r="I10" s="4" t="str">
        <f>IF(Table2[[#This Row],[Date]]="","",IF(Table2[[#This Row],[Diference]]&gt;$M$3,"N","Y"))</f>
        <v/>
      </c>
      <c r="J10" s="6" t="str">
        <f>IFERROR(IF(ISBLANK(Table2[[#This Row],[Date]]),"",$G$26-Table2[[#This Row],[x1]])/$G$26,"")</f>
        <v/>
      </c>
      <c r="K10" s="6" t="str">
        <f>IFERROR(IF(ISBLANK(Table2[[#This Row],[Date]]),"",$G$26-Table2[[#This Row],[x2]])/$G$26,"")</f>
        <v/>
      </c>
      <c r="L10" s="6" t="str">
        <f>IFERROR(IF(ISBLANK(Table2[[#This Row],[Date]]),"",Table2[[#This Row],[Average]]/$G$26),"")</f>
        <v/>
      </c>
      <c r="M10" s="7"/>
      <c r="N10" s="9"/>
    </row>
    <row r="11" spans="1:14">
      <c r="B11" s="18"/>
      <c r="C11" s="8"/>
      <c r="D11" s="8"/>
      <c r="E11" s="5" t="str">
        <f>IFERROR(ABS(Table2[[#This Row],[x2]]-Table2[[#This Row],[x1]])*100/AVERAGE(Table2[[#This Row],[x1]]:Table2[[#This Row],[x2]]),"")</f>
        <v/>
      </c>
      <c r="F11" s="4" t="str">
        <f>IF(ISBLANK(Table2[[#This Row],[Date]]),"",IF(Table2[[#This Row],[RPD]]&gt;10,"N","Y"))</f>
        <v/>
      </c>
      <c r="G11" s="4" t="str">
        <f>IF(ISBLANK(Table2[[#This Row],[x1]]),"",AVERAGE(Table2[[#This Row],[x1]:[x2]]))</f>
        <v/>
      </c>
      <c r="H11" s="4" t="str">
        <f>IF(ISBLANK(Table2[[#This Row],[x1]]),"",ABS(Table2[[#This Row],[x1]]-Table2[[#This Row],[x2]]))</f>
        <v/>
      </c>
      <c r="I11" s="4" t="str">
        <f>IF(Table2[[#This Row],[Date]]="","",IF(Table2[[#This Row],[Diference]]&gt;$M$3,"N","Y"))</f>
        <v/>
      </c>
      <c r="J11" s="6" t="str">
        <f>IFERROR(IF(ISBLANK(Table2[[#This Row],[Date]]),"",$G$26-Table2[[#This Row],[x1]])/$G$26,"")</f>
        <v/>
      </c>
      <c r="K11" s="6" t="str">
        <f>IFERROR(IF(ISBLANK(Table2[[#This Row],[Date]]),"",$G$26-Table2[[#This Row],[x2]])/$G$26,"")</f>
        <v/>
      </c>
      <c r="L11" s="6" t="str">
        <f>IFERROR(IF(ISBLANK(Table2[[#This Row],[Date]]),"",Table2[[#This Row],[Average]]/$G$26),"")</f>
        <v/>
      </c>
      <c r="M11" s="7"/>
      <c r="N11" s="9"/>
    </row>
    <row r="12" spans="1:14">
      <c r="B12" s="18"/>
      <c r="C12" s="8"/>
      <c r="D12" s="8"/>
      <c r="E12" s="5" t="str">
        <f>IFERROR(ABS(Table2[[#This Row],[x2]]-Table2[[#This Row],[x1]])*100/AVERAGE(Table2[[#This Row],[x1]]:Table2[[#This Row],[x2]]),"")</f>
        <v/>
      </c>
      <c r="F12" s="4" t="str">
        <f>IF(ISBLANK(Table2[[#This Row],[Date]]),"",IF(Table2[[#This Row],[RPD]]&gt;10,"N","Y"))</f>
        <v/>
      </c>
      <c r="G12" s="4" t="str">
        <f>IF(ISBLANK(Table2[[#This Row],[x1]]),"",AVERAGE(Table2[[#This Row],[x1]:[x2]]))</f>
        <v/>
      </c>
      <c r="H12" s="4" t="str">
        <f>IF(ISBLANK(Table2[[#This Row],[x1]]),"",ABS(Table2[[#This Row],[x1]]-Table2[[#This Row],[x2]]))</f>
        <v/>
      </c>
      <c r="I12" s="4" t="str">
        <f>IF(Table2[[#This Row],[Date]]="","",IF(Table2[[#This Row],[Diference]]&gt;$M$3,"N","Y"))</f>
        <v/>
      </c>
      <c r="J12" s="6" t="str">
        <f>IFERROR(IF(ISBLANK(Table2[[#This Row],[Date]]),"",$G$26-Table2[[#This Row],[x1]])/$G$26,"")</f>
        <v/>
      </c>
      <c r="K12" s="6" t="str">
        <f>IFERROR(IF(ISBLANK(Table2[[#This Row],[Date]]),"",$G$26-Table2[[#This Row],[x2]])/$G$26,"")</f>
        <v/>
      </c>
      <c r="L12" s="6" t="str">
        <f>IFERROR(IF(ISBLANK(Table2[[#This Row],[Date]]),"",Table2[[#This Row],[Average]]/$G$26),"")</f>
        <v/>
      </c>
      <c r="M12" s="7"/>
      <c r="N12" s="9"/>
    </row>
    <row r="13" spans="1:14">
      <c r="B13" s="18"/>
      <c r="C13" s="8"/>
      <c r="D13" s="8"/>
      <c r="E13" s="5" t="str">
        <f>IFERROR(ABS(Table2[[#This Row],[x2]]-Table2[[#This Row],[x1]])*100/AVERAGE(Table2[[#This Row],[x1]]:Table2[[#This Row],[x2]]),"")</f>
        <v/>
      </c>
      <c r="F13" s="4" t="str">
        <f>IF(ISBLANK(Table2[[#This Row],[Date]]),"",IF(Table2[[#This Row],[RPD]]&gt;10,"N","Y"))</f>
        <v/>
      </c>
      <c r="G13" s="4" t="str">
        <f>IF(ISBLANK(Table2[[#This Row],[x1]]),"",AVERAGE(Table2[[#This Row],[x1]:[x2]]))</f>
        <v/>
      </c>
      <c r="H13" s="4" t="str">
        <f>IF(ISBLANK(Table2[[#This Row],[x1]]),"",ABS(Table2[[#This Row],[x1]]-Table2[[#This Row],[x2]]))</f>
        <v/>
      </c>
      <c r="I13" s="4" t="str">
        <f>IF(Table2[[#This Row],[Date]]="","",IF(Table2[[#This Row],[Diference]]&gt;$M$3,"N","Y"))</f>
        <v/>
      </c>
      <c r="J13" s="6" t="str">
        <f>IFERROR(IF(ISBLANK(Table2[[#This Row],[Date]]),"",$G$26-Table2[[#This Row],[x1]])/$G$26,"")</f>
        <v/>
      </c>
      <c r="K13" s="6" t="str">
        <f>IFERROR(IF(ISBLANK(Table2[[#This Row],[Date]]),"",$G$26-Table2[[#This Row],[x2]])/$G$26,"")</f>
        <v/>
      </c>
      <c r="L13" s="6" t="str">
        <f>IFERROR(IF(ISBLANK(Table2[[#This Row],[Date]]),"",Table2[[#This Row],[Average]]/$G$26),"")</f>
        <v/>
      </c>
      <c r="M13" s="7"/>
      <c r="N13" s="9"/>
    </row>
    <row r="14" spans="1:14">
      <c r="B14" s="18"/>
      <c r="C14" s="8"/>
      <c r="D14" s="8"/>
      <c r="E14" s="5" t="str">
        <f>IFERROR(ABS(Table2[[#This Row],[x2]]-Table2[[#This Row],[x1]])*100/AVERAGE(Table2[[#This Row],[x1]]:Table2[[#This Row],[x2]]),"")</f>
        <v/>
      </c>
      <c r="F14" s="4" t="str">
        <f>IF(ISBLANK(Table2[[#This Row],[Date]]),"",IF(Table2[[#This Row],[RPD]]&gt;10,"N","Y"))</f>
        <v/>
      </c>
      <c r="G14" s="4" t="str">
        <f>IF(ISBLANK(Table2[[#This Row],[x1]]),"",AVERAGE(Table2[[#This Row],[x1]:[x2]]))</f>
        <v/>
      </c>
      <c r="H14" s="4" t="str">
        <f>IF(ISBLANK(Table2[[#This Row],[x1]]),"",ABS(Table2[[#This Row],[x1]]-Table2[[#This Row],[x2]]))</f>
        <v/>
      </c>
      <c r="I14" s="4" t="str">
        <f>IF(Table2[[#This Row],[Date]]="","",IF(Table2[[#This Row],[Diference]]&gt;$M$3,"N","Y"))</f>
        <v/>
      </c>
      <c r="J14" s="6" t="str">
        <f>IFERROR(IF(ISBLANK(Table2[[#This Row],[Date]]),"",$G$26-Table2[[#This Row],[x1]])/$G$26,"")</f>
        <v/>
      </c>
      <c r="K14" s="6" t="str">
        <f>IFERROR(IF(ISBLANK(Table2[[#This Row],[Date]]),"",$G$26-Table2[[#This Row],[x2]])/$G$26,"")</f>
        <v/>
      </c>
      <c r="L14" s="6" t="str">
        <f>IFERROR(IF(ISBLANK(Table2[[#This Row],[Date]]),"",Table2[[#This Row],[Average]]/$G$26),"")</f>
        <v/>
      </c>
      <c r="M14" s="7"/>
      <c r="N14" s="9"/>
    </row>
    <row r="15" spans="1:14">
      <c r="B15" s="18"/>
      <c r="C15" s="8"/>
      <c r="D15" s="8"/>
      <c r="E15" s="5" t="str">
        <f>IFERROR(ABS(Table2[[#This Row],[x2]]-Table2[[#This Row],[x1]])*100/AVERAGE(Table2[[#This Row],[x1]]:Table2[[#This Row],[x2]]),"")</f>
        <v/>
      </c>
      <c r="F15" s="4" t="str">
        <f>IF(ISBLANK(Table2[[#This Row],[Date]]),"",IF(Table2[[#This Row],[RPD]]&gt;10,"N","Y"))</f>
        <v/>
      </c>
      <c r="G15" s="4" t="str">
        <f>IF(ISBLANK(Table2[[#This Row],[x1]]),"",AVERAGE(Table2[[#This Row],[x1]:[x2]]))</f>
        <v/>
      </c>
      <c r="H15" s="4" t="str">
        <f>IF(ISBLANK(Table2[[#This Row],[x1]]),"",ABS(Table2[[#This Row],[x1]]-Table2[[#This Row],[x2]]))</f>
        <v/>
      </c>
      <c r="I15" s="4" t="str">
        <f>IF(Table2[[#This Row],[Date]]="","",IF(Table2[[#This Row],[Diference]]&gt;$M$3,"N","Y"))</f>
        <v/>
      </c>
      <c r="J15" s="6" t="str">
        <f>IFERROR(IF(ISBLANK(Table2[[#This Row],[Date]]),"",$G$26-Table2[[#This Row],[x1]])/$G$26,"")</f>
        <v/>
      </c>
      <c r="K15" s="6" t="str">
        <f>IFERROR(IF(ISBLANK(Table2[[#This Row],[Date]]),"",$G$26-Table2[[#This Row],[x2]])/$G$26,"")</f>
        <v/>
      </c>
      <c r="L15" s="6" t="str">
        <f>IFERROR(IF(ISBLANK(Table2[[#This Row],[Date]]),"",Table2[[#This Row],[Average]]/$G$26),"")</f>
        <v/>
      </c>
      <c r="M15" s="7"/>
      <c r="N15" s="9"/>
    </row>
    <row r="16" spans="1:14">
      <c r="B16" s="18"/>
      <c r="C16" s="8"/>
      <c r="D16" s="8"/>
      <c r="E16" s="5" t="str">
        <f>IFERROR(ABS(Table2[[#This Row],[x2]]-Table2[[#This Row],[x1]])*100/AVERAGE(Table2[[#This Row],[x1]]:Table2[[#This Row],[x2]]),"")</f>
        <v/>
      </c>
      <c r="F16" s="4" t="str">
        <f>IF(ISBLANK(Table2[[#This Row],[Date]]),"",IF(Table2[[#This Row],[RPD]]&gt;10,"N","Y"))</f>
        <v/>
      </c>
      <c r="G16" s="4" t="str">
        <f>IF(ISBLANK(Table2[[#This Row],[x1]]),"",AVERAGE(Table2[[#This Row],[x1]:[x2]]))</f>
        <v/>
      </c>
      <c r="H16" s="4" t="str">
        <f>IF(ISBLANK(Table2[[#This Row],[x1]]),"",ABS(Table2[[#This Row],[x1]]-Table2[[#This Row],[x2]]))</f>
        <v/>
      </c>
      <c r="I16" s="4" t="str">
        <f>IF(Table2[[#This Row],[Date]]="","",IF(Table2[[#This Row],[Diference]]&gt;$M$3,"N","Y"))</f>
        <v/>
      </c>
      <c r="J16" s="6" t="str">
        <f>IFERROR(IF(ISBLANK(Table2[[#This Row],[Date]]),"",$G$26-Table2[[#This Row],[x1]])/$G$26,"")</f>
        <v/>
      </c>
      <c r="K16" s="6" t="str">
        <f>IFERROR(IF(ISBLANK(Table2[[#This Row],[Date]]),"",$G$26-Table2[[#This Row],[x2]])/$G$26,"")</f>
        <v/>
      </c>
      <c r="L16" s="6" t="str">
        <f>IFERROR(IF(ISBLANK(Table2[[#This Row],[Date]]),"",Table2[[#This Row],[Average]]/$G$26),"")</f>
        <v/>
      </c>
      <c r="M16" s="7"/>
      <c r="N16" s="9"/>
    </row>
    <row r="17" spans="2:14">
      <c r="B17" s="18"/>
      <c r="C17" s="8"/>
      <c r="D17" s="8"/>
      <c r="E17" s="5" t="str">
        <f>IFERROR(ABS(Table2[[#This Row],[x2]]-Table2[[#This Row],[x1]])*100/AVERAGE(Table2[[#This Row],[x1]]:Table2[[#This Row],[x2]]),"")</f>
        <v/>
      </c>
      <c r="F17" s="4" t="str">
        <f>IF(ISBLANK(Table2[[#This Row],[Date]]),"",IF(Table2[[#This Row],[RPD]]&gt;10,"N","Y"))</f>
        <v/>
      </c>
      <c r="G17" s="4" t="str">
        <f>IF(ISBLANK(Table2[[#This Row],[x1]]),"",AVERAGE(Table2[[#This Row],[x1]:[x2]]))</f>
        <v/>
      </c>
      <c r="H17" s="4" t="str">
        <f>IF(ISBLANK(Table2[[#This Row],[x1]]),"",ABS(Table2[[#This Row],[x1]]-Table2[[#This Row],[x2]]))</f>
        <v/>
      </c>
      <c r="I17" s="4" t="str">
        <f>IF(Table2[[#This Row],[Date]]="","",IF(Table2[[#This Row],[Diference]]&gt;$M$3,"N","Y"))</f>
        <v/>
      </c>
      <c r="J17" s="6" t="str">
        <f>IFERROR(IF(ISBLANK(Table2[[#This Row],[Date]]),"",$G$26-Table2[[#This Row],[x1]])/$G$26,"")</f>
        <v/>
      </c>
      <c r="K17" s="6" t="str">
        <f>IFERROR(IF(ISBLANK(Table2[[#This Row],[Date]]),"",$G$26-Table2[[#This Row],[x2]])/$G$26,"")</f>
        <v/>
      </c>
      <c r="L17" s="6" t="str">
        <f>IFERROR(IF(ISBLANK(Table2[[#This Row],[Date]]),"",Table2[[#This Row],[Average]]/$G$26),"")</f>
        <v/>
      </c>
      <c r="M17" s="7"/>
      <c r="N17" s="9"/>
    </row>
    <row r="18" spans="2:14">
      <c r="B18" s="18"/>
      <c r="C18" s="8"/>
      <c r="D18" s="8"/>
      <c r="E18" s="5" t="str">
        <f>IFERROR(ABS(Table2[[#This Row],[x2]]-Table2[[#This Row],[x1]])*100/AVERAGE(Table2[[#This Row],[x1]]:Table2[[#This Row],[x2]]),"")</f>
        <v/>
      </c>
      <c r="F18" s="4" t="str">
        <f>IF(ISBLANK(Table2[[#This Row],[Date]]),"",IF(Table2[[#This Row],[RPD]]&gt;10,"N","Y"))</f>
        <v/>
      </c>
      <c r="G18" s="4" t="str">
        <f>IF(ISBLANK(Table2[[#This Row],[x1]]),"",AVERAGE(Table2[[#This Row],[x1]:[x2]]))</f>
        <v/>
      </c>
      <c r="H18" s="4" t="str">
        <f>IF(ISBLANK(Table2[[#This Row],[x1]]),"",ABS(Table2[[#This Row],[x1]]-Table2[[#This Row],[x2]]))</f>
        <v/>
      </c>
      <c r="I18" s="4" t="str">
        <f>IF(Table2[[#This Row],[Date]]="","",IF(Table2[[#This Row],[Diference]]&gt;$M$3,"N","Y"))</f>
        <v/>
      </c>
      <c r="J18" s="6" t="str">
        <f>IFERROR(IF(ISBLANK(Table2[[#This Row],[Date]]),"",$G$26-Table2[[#This Row],[x1]])/$G$26,"")</f>
        <v/>
      </c>
      <c r="K18" s="6" t="str">
        <f>IFERROR(IF(ISBLANK(Table2[[#This Row],[Date]]),"",$G$26-Table2[[#This Row],[x2]])/$G$26,"")</f>
        <v/>
      </c>
      <c r="L18" s="6" t="str">
        <f>IFERROR(IF(ISBLANK(Table2[[#This Row],[Date]]),"",Table2[[#This Row],[Average]]/$G$26),"")</f>
        <v/>
      </c>
      <c r="M18" s="7"/>
      <c r="N18" s="9"/>
    </row>
    <row r="19" spans="2:14">
      <c r="B19" s="18"/>
      <c r="C19" s="8"/>
      <c r="D19" s="8"/>
      <c r="E19" s="5" t="str">
        <f>IFERROR(ABS(Table2[[#This Row],[x2]]-Table2[[#This Row],[x1]])*100/AVERAGE(Table2[[#This Row],[x1]]:Table2[[#This Row],[x2]]),"")</f>
        <v/>
      </c>
      <c r="F19" s="4" t="str">
        <f>IF(ISBLANK(Table2[[#This Row],[Date]]),"",IF(Table2[[#This Row],[RPD]]&gt;10,"N","Y"))</f>
        <v/>
      </c>
      <c r="G19" s="4" t="str">
        <f>IF(ISBLANK(Table2[[#This Row],[x1]]),"",AVERAGE(Table2[[#This Row],[x1]:[x2]]))</f>
        <v/>
      </c>
      <c r="H19" s="4" t="str">
        <f>IF(ISBLANK(Table2[[#This Row],[x1]]),"",ABS(Table2[[#This Row],[x1]]-Table2[[#This Row],[x2]]))</f>
        <v/>
      </c>
      <c r="I19" s="4" t="str">
        <f>IF(Table2[[#This Row],[Date]]="","",IF(Table2[[#This Row],[Diference]]&gt;$M$3,"N","Y"))</f>
        <v/>
      </c>
      <c r="J19" s="6" t="str">
        <f>IFERROR(IF(ISBLANK(Table2[[#This Row],[Date]]),"",$G$26-Table2[[#This Row],[x1]])/$G$26,"")</f>
        <v/>
      </c>
      <c r="K19" s="6" t="str">
        <f>IFERROR(IF(ISBLANK(Table2[[#This Row],[Date]]),"",$G$26-Table2[[#This Row],[x2]])/$G$26,"")</f>
        <v/>
      </c>
      <c r="L19" s="6" t="str">
        <f>IFERROR(IF(ISBLANK(Table2[[#This Row],[Date]]),"",Table2[[#This Row],[Average]]/$G$26),"")</f>
        <v/>
      </c>
      <c r="M19" s="7"/>
      <c r="N19" s="9"/>
    </row>
    <row r="20" spans="2:14">
      <c r="B20" s="18"/>
      <c r="C20" s="8"/>
      <c r="D20" s="8"/>
      <c r="E20" s="5" t="str">
        <f>IFERROR(ABS(Table2[[#This Row],[x2]]-Table2[[#This Row],[x1]])*100/AVERAGE(Table2[[#This Row],[x1]]:Table2[[#This Row],[x2]]),"")</f>
        <v/>
      </c>
      <c r="F20" s="4" t="str">
        <f>IF(ISBLANK(Table2[[#This Row],[Date]]),"",IF(Table2[[#This Row],[RPD]]&gt;10,"N","Y"))</f>
        <v/>
      </c>
      <c r="G20" s="4" t="str">
        <f>IF(ISBLANK(Table2[[#This Row],[x1]]),"",AVERAGE(Table2[[#This Row],[x1]:[x2]]))</f>
        <v/>
      </c>
      <c r="H20" s="4" t="str">
        <f>IF(ISBLANK(Table2[[#This Row],[x1]]),"",ABS(Table2[[#This Row],[x1]]-Table2[[#This Row],[x2]]))</f>
        <v/>
      </c>
      <c r="I20" s="4" t="str">
        <f>IF(Table2[[#This Row],[Date]]="","",IF(Table2[[#This Row],[Diference]]&gt;$M$3,"N","Y"))</f>
        <v/>
      </c>
      <c r="J20" s="6" t="str">
        <f>IFERROR(IF(ISBLANK(Table2[[#This Row],[Date]]),"",$G$26-Table2[[#This Row],[x1]])/$G$26,"")</f>
        <v/>
      </c>
      <c r="K20" s="6" t="str">
        <f>IFERROR(IF(ISBLANK(Table2[[#This Row],[Date]]),"",$G$26-Table2[[#This Row],[x2]])/$G$26,"")</f>
        <v/>
      </c>
      <c r="L20" s="6" t="str">
        <f>IFERROR(IF(ISBLANK(Table2[[#This Row],[Date]]),"",Table2[[#This Row],[Average]]/$G$26),"")</f>
        <v/>
      </c>
      <c r="M20" s="7"/>
      <c r="N20" s="9"/>
    </row>
    <row r="21" spans="2:14">
      <c r="B21" s="18"/>
      <c r="C21" s="8"/>
      <c r="D21" s="8"/>
      <c r="E21" s="5" t="str">
        <f>IFERROR(ABS(Table2[[#This Row],[x2]]-Table2[[#This Row],[x1]])*100/AVERAGE(Table2[[#This Row],[x1]]:Table2[[#This Row],[x2]]),"")</f>
        <v/>
      </c>
      <c r="F21" s="4" t="str">
        <f>IF(ISBLANK(Table2[[#This Row],[Date]]),"",IF(Table2[[#This Row],[RPD]]&gt;10,"N","Y"))</f>
        <v/>
      </c>
      <c r="G21" s="4" t="str">
        <f>IF(ISBLANK(Table2[[#This Row],[x1]]),"",AVERAGE(Table2[[#This Row],[x1]:[x2]]))</f>
        <v/>
      </c>
      <c r="H21" s="4" t="str">
        <f>IF(ISBLANK(Table2[[#This Row],[x1]]),"",ABS(Table2[[#This Row],[x1]]-Table2[[#This Row],[x2]]))</f>
        <v/>
      </c>
      <c r="I21" s="4" t="str">
        <f>IF(Table2[[#This Row],[Date]]="","",IF(Table2[[#This Row],[Diference]]&gt;$M$3,"N","Y"))</f>
        <v/>
      </c>
      <c r="J21" s="6" t="str">
        <f>IFERROR(IF(ISBLANK(Table2[[#This Row],[Date]]),"",$G$26-Table2[[#This Row],[x1]])/$G$26,"")</f>
        <v/>
      </c>
      <c r="K21" s="6" t="str">
        <f>IFERROR(IF(ISBLANK(Table2[[#This Row],[Date]]),"",$G$26-Table2[[#This Row],[x2]])/$G$26,"")</f>
        <v/>
      </c>
      <c r="L21" s="6" t="str">
        <f>IFERROR(IF(ISBLANK(Table2[[#This Row],[Date]]),"",Table2[[#This Row],[Average]]/$G$26),"")</f>
        <v/>
      </c>
      <c r="M21" s="7"/>
      <c r="N21" s="9"/>
    </row>
    <row r="22" spans="2:14">
      <c r="B22" s="18"/>
      <c r="C22" s="8"/>
      <c r="D22" s="8"/>
      <c r="E22" s="5" t="str">
        <f>IFERROR(ABS(Table2[[#This Row],[x2]]-Table2[[#This Row],[x1]])*100/AVERAGE(Table2[[#This Row],[x1]]:Table2[[#This Row],[x2]]),"")</f>
        <v/>
      </c>
      <c r="F22" s="4" t="str">
        <f>IF(ISBLANK(Table2[[#This Row],[Date]]),"",IF(Table2[[#This Row],[RPD]]&gt;10,"N","Y"))</f>
        <v/>
      </c>
      <c r="G22" s="4" t="str">
        <f>IF(ISBLANK(Table2[[#This Row],[x1]]),"",AVERAGE(Table2[[#This Row],[x1]:[x2]]))</f>
        <v/>
      </c>
      <c r="H22" s="4" t="str">
        <f>IF(ISBLANK(Table2[[#This Row],[x1]]),"",ABS(Table2[[#This Row],[x1]]-Table2[[#This Row],[x2]]))</f>
        <v/>
      </c>
      <c r="I22" s="4" t="str">
        <f>IF(Table2[[#This Row],[Date]]="","",IF(Table2[[#This Row],[Diference]]&gt;$M$3,"N","Y"))</f>
        <v/>
      </c>
      <c r="J22" s="6" t="str">
        <f>IFERROR(IF(ISBLANK(Table2[[#This Row],[Date]]),"",$G$26-Table2[[#This Row],[x1]])/$G$26,"")</f>
        <v/>
      </c>
      <c r="K22" s="6" t="str">
        <f>IFERROR(IF(ISBLANK(Table2[[#This Row],[Date]]),"",$G$26-Table2[[#This Row],[x2]])/$G$26,"")</f>
        <v/>
      </c>
      <c r="L22" s="6" t="str">
        <f>IFERROR(IF(ISBLANK(Table2[[#This Row],[Date]]),"",Table2[[#This Row],[Average]]/$G$26),"")</f>
        <v/>
      </c>
      <c r="M22" s="7"/>
      <c r="N22" s="9"/>
    </row>
    <row r="23" spans="2:14">
      <c r="B23" s="18"/>
      <c r="C23" s="8"/>
      <c r="D23" s="8"/>
      <c r="E23" s="5" t="str">
        <f>IFERROR(ABS(Table2[[#This Row],[x2]]-Table2[[#This Row],[x1]])*100/AVERAGE(Table2[[#This Row],[x1]]:Table2[[#This Row],[x2]]),"")</f>
        <v/>
      </c>
      <c r="F23" s="4" t="str">
        <f>IF(ISBLANK(Table2[[#This Row],[Date]]),"",IF(Table2[[#This Row],[RPD]]&gt;10,"N","Y"))</f>
        <v/>
      </c>
      <c r="G23" s="4" t="str">
        <f>IF(ISBLANK(Table2[[#This Row],[x1]]),"",AVERAGE(Table2[[#This Row],[x1]:[x2]]))</f>
        <v/>
      </c>
      <c r="H23" s="4" t="str">
        <f>IF(ISBLANK(Table2[[#This Row],[x1]]),"",ABS(Table2[[#This Row],[x1]]-Table2[[#This Row],[x2]]))</f>
        <v/>
      </c>
      <c r="I23" s="4" t="str">
        <f>IF(Table2[[#This Row],[Date]]="","",IF(Table2[[#This Row],[Diference]]&gt;$M$3,"N","Y"))</f>
        <v/>
      </c>
      <c r="J23" s="6" t="str">
        <f>IFERROR(IF(ISBLANK(Table2[[#This Row],[Date]]),"",$G$26-Table2[[#This Row],[x1]])/$G$26,"")</f>
        <v/>
      </c>
      <c r="K23" s="6" t="str">
        <f>IFERROR(IF(ISBLANK(Table2[[#This Row],[Date]]),"",$G$26-Table2[[#This Row],[x2]])/$G$26,"")</f>
        <v/>
      </c>
      <c r="L23" s="6" t="str">
        <f>IFERROR(IF(ISBLANK(Table2[[#This Row],[Date]]),"",Table2[[#This Row],[Average]]/$G$26),"")</f>
        <v/>
      </c>
      <c r="M23" s="7"/>
      <c r="N23" s="9"/>
    </row>
    <row r="24" spans="2:14">
      <c r="B24" s="18"/>
      <c r="C24" s="8"/>
      <c r="D24" s="8"/>
      <c r="E24" s="5" t="str">
        <f>IFERROR(ABS(Table2[[#This Row],[x2]]-Table2[[#This Row],[x1]])*100/AVERAGE(Table2[[#This Row],[x1]]:Table2[[#This Row],[x2]]),"")</f>
        <v/>
      </c>
      <c r="F24" s="4" t="str">
        <f>IF(ISBLANK(Table2[[#This Row],[Date]]),"",IF(Table2[[#This Row],[RPD]]&gt;10,"N","Y"))</f>
        <v/>
      </c>
      <c r="G24" s="4" t="str">
        <f>IF(ISBLANK(Table2[[#This Row],[x1]]),"",AVERAGE(Table2[[#This Row],[x1]:[x2]]))</f>
        <v/>
      </c>
      <c r="H24" s="4" t="str">
        <f>IF(ISBLANK(Table2[[#This Row],[x1]]),"",ABS(Table2[[#This Row],[x1]]-Table2[[#This Row],[x2]]))</f>
        <v/>
      </c>
      <c r="I24" s="4" t="str">
        <f>IF(Table2[[#This Row],[Date]]="","",IF(Table2[[#This Row],[Diference]]&gt;$M$3,"N","Y"))</f>
        <v/>
      </c>
      <c r="J24" s="6" t="str">
        <f>IFERROR(IF(ISBLANK(Table2[[#This Row],[Date]]),"",$G$26-Table2[[#This Row],[x1]])/$G$26,"")</f>
        <v/>
      </c>
      <c r="K24" s="6" t="str">
        <f>IFERROR(IF(ISBLANK(Table2[[#This Row],[Date]]),"",$G$26-Table2[[#This Row],[x2]])/$G$26,"")</f>
        <v/>
      </c>
      <c r="L24" s="6" t="str">
        <f>IFERROR(IF(ISBLANK(Table2[[#This Row],[Date]]),"",Table2[[#This Row],[Average]]/$G$26),"")</f>
        <v/>
      </c>
      <c r="M24" s="7"/>
      <c r="N24" s="9"/>
    </row>
    <row r="25" spans="2:14">
      <c r="B25" s="18"/>
      <c r="C25" s="8"/>
      <c r="D25" s="8"/>
      <c r="E25" s="5" t="str">
        <f>IFERROR(ABS(Table2[[#This Row],[x2]]-Table2[[#This Row],[x1]])*100/AVERAGE(Table2[[#This Row],[x1]]:Table2[[#This Row],[x2]]),"")</f>
        <v/>
      </c>
      <c r="F25" s="4" t="str">
        <f>IF(ISBLANK(Table2[[#This Row],[Date]]),"",IF(Table2[[#This Row],[RPD]]&gt;10,"N","Y"))</f>
        <v/>
      </c>
      <c r="G25" s="4" t="str">
        <f>IF(ISBLANK(Table2[[#This Row],[x1]]),"",AVERAGE(Table2[[#This Row],[x1]:[x2]]))</f>
        <v/>
      </c>
      <c r="H25" s="4" t="str">
        <f>IF(ISBLANK(Table2[[#This Row],[x1]]),"",ABS(Table2[[#This Row],[x1]]-Table2[[#This Row],[x2]]))</f>
        <v/>
      </c>
      <c r="I25" s="4" t="str">
        <f>IF(Table2[[#This Row],[Date]]="","",IF(Table2[[#This Row],[Diference]]&gt;$M$3,"N","Y"))</f>
        <v/>
      </c>
      <c r="J25" s="6" t="str">
        <f>IFERROR(IF(ISBLANK(Table2[[#This Row],[Date]]),"",$G$26-Table2[[#This Row],[x1]])/$G$26,"")</f>
        <v/>
      </c>
      <c r="K25" s="6" t="str">
        <f>IFERROR(IF(ISBLANK(Table2[[#This Row],[Date]]),"",$G$26-Table2[[#This Row],[x2]])/$G$26,"")</f>
        <v/>
      </c>
      <c r="L25" s="6" t="str">
        <f>IFERROR(IF(ISBLANK(Table2[[#This Row],[Date]]),"",Table2[[#This Row],[Average]]/$G$26),"")</f>
        <v/>
      </c>
      <c r="M25" s="7"/>
      <c r="N25" s="9"/>
    </row>
    <row r="26" spans="2:14">
      <c r="B26" s="10"/>
      <c r="C26" s="8"/>
      <c r="D26" s="8"/>
      <c r="E26" s="4"/>
      <c r="F26" s="4" t="s">
        <v>16</v>
      </c>
      <c r="G26" s="19" t="str">
        <f>IFERROR(AVERAGE(Table2[Average]),"")</f>
        <v/>
      </c>
      <c r="H26" s="4"/>
      <c r="I26" s="4"/>
      <c r="J26" s="8"/>
      <c r="K26" s="8"/>
      <c r="L26"/>
      <c r="M26" s="7"/>
    </row>
    <row r="27" spans="2:14">
      <c r="F27" s="7" t="s">
        <v>18</v>
      </c>
      <c r="G27" s="2" t="str">
        <f>IFERROR(2.8*_xlfn.STDEV.S(Table2[Average]),"")</f>
        <v/>
      </c>
    </row>
    <row r="29" spans="2:14">
      <c r="H29" s="2"/>
    </row>
    <row r="30" spans="2:14">
      <c r="B30" s="9"/>
    </row>
    <row r="31" spans="2:14">
      <c r="B31" s="12"/>
      <c r="D31" s="13"/>
      <c r="E31" s="13"/>
      <c r="F31" s="13"/>
    </row>
    <row r="32" spans="2:14">
      <c r="B32" s="12"/>
      <c r="D32" s="13"/>
      <c r="E32" s="13"/>
      <c r="F32" s="13"/>
    </row>
    <row r="33" spans="2:6">
      <c r="B33" s="12"/>
      <c r="D33" s="13"/>
      <c r="E33" s="13"/>
      <c r="F33" s="13"/>
    </row>
    <row r="34" spans="2:6">
      <c r="B34" s="12"/>
      <c r="D34" s="13"/>
      <c r="E34" s="13"/>
      <c r="F34" s="13"/>
    </row>
    <row r="35" spans="2:6">
      <c r="B35" s="12"/>
      <c r="D35" s="13"/>
      <c r="E35" s="13"/>
      <c r="F35" s="13"/>
    </row>
    <row r="36" spans="2:6">
      <c r="B36" s="12"/>
      <c r="D36" s="13"/>
      <c r="E36" s="13"/>
      <c r="F36" s="13"/>
    </row>
    <row r="37" spans="2:6">
      <c r="B37" s="12"/>
      <c r="D37" s="13"/>
      <c r="E37" s="13"/>
      <c r="F37" s="13"/>
    </row>
    <row r="38" spans="2:6">
      <c r="B38" s="12"/>
      <c r="D38" s="13"/>
      <c r="E38" s="13"/>
      <c r="F38" s="13"/>
    </row>
    <row r="39" spans="2:6">
      <c r="B39" s="12"/>
      <c r="D39" s="13"/>
      <c r="E39" s="13"/>
      <c r="F39" s="13"/>
    </row>
    <row r="40" spans="2:6">
      <c r="B40" s="12"/>
      <c r="D40" s="13"/>
      <c r="E40" s="13"/>
      <c r="F40" s="13"/>
    </row>
    <row r="41" spans="2:6">
      <c r="B41" s="12"/>
      <c r="D41" s="13"/>
      <c r="E41" s="13"/>
      <c r="F41" s="13"/>
    </row>
    <row r="42" spans="2:6">
      <c r="B42" s="12"/>
      <c r="D42" s="13"/>
      <c r="E42" s="13"/>
      <c r="F42" s="13"/>
    </row>
    <row r="43" spans="2:6">
      <c r="B43" s="12"/>
      <c r="D43" s="13"/>
      <c r="E43" s="13"/>
      <c r="F43" s="13"/>
    </row>
    <row r="44" spans="2:6">
      <c r="B44" s="12"/>
      <c r="D44" s="13"/>
      <c r="E44" s="13"/>
      <c r="F44" s="13"/>
    </row>
    <row r="45" spans="2:6">
      <c r="B45" s="12"/>
      <c r="D45" s="13"/>
      <c r="E45" s="13"/>
      <c r="F45" s="13"/>
    </row>
    <row r="46" spans="2:6">
      <c r="B46" s="12"/>
      <c r="D46" s="13"/>
      <c r="E46" s="13"/>
      <c r="F46" s="13"/>
    </row>
    <row r="47" spans="2:6">
      <c r="B47" s="12"/>
      <c r="D47" s="13"/>
      <c r="E47" s="13"/>
      <c r="F47" s="13"/>
    </row>
    <row r="48" spans="2:6">
      <c r="B48" s="12"/>
      <c r="D48" s="13"/>
      <c r="E48" s="13"/>
      <c r="F48" s="13"/>
    </row>
    <row r="49" spans="2:6">
      <c r="B49" s="12"/>
      <c r="D49" s="13"/>
      <c r="E49" s="13"/>
      <c r="F49" s="13"/>
    </row>
    <row r="50" spans="2:6">
      <c r="D50" s="13"/>
      <c r="E50" s="13"/>
      <c r="F50" s="13"/>
    </row>
    <row r="52" spans="2:6">
      <c r="D52" s="13"/>
      <c r="E52" s="13"/>
      <c r="F52" s="13"/>
    </row>
    <row r="53" spans="2:6">
      <c r="D53" s="13"/>
      <c r="E53" s="13"/>
      <c r="F53" s="13"/>
    </row>
    <row r="54" spans="2:6">
      <c r="D54" s="13"/>
      <c r="E54" s="13"/>
      <c r="F54" s="13"/>
    </row>
  </sheetData>
  <sheetProtection algorithmName="SHA-512" hashValue="kWuY87SAnLssWZ7SgLBB6YZV66+XeSHq5X87TMQxKcMM+SGj/aiq69lVf9W+vgKfjjERir8NUSMXfrj4A41Abw==" saltValue="FOFVAoh0MuIYT0cE8PM75A==" spinCount="100000" sheet="1" objects="1" scenarios="1"/>
  <mergeCells count="1">
    <mergeCell ref="G2:J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54"/>
  <sheetViews>
    <sheetView topLeftCell="A4" workbookViewId="0">
      <selection activeCell="B6" sqref="B6:D7"/>
    </sheetView>
  </sheetViews>
  <sheetFormatPr defaultColWidth="9.109375" defaultRowHeight="14.4"/>
  <cols>
    <col min="1" max="1" width="9.109375" style="17"/>
    <col min="2" max="2" width="11" style="17" bestFit="1" customWidth="1"/>
    <col min="3" max="5" width="9.109375" style="17"/>
    <col min="6" max="6" width="15" style="17" bestFit="1" customWidth="1"/>
    <col min="7" max="7" width="12.21875" style="17" bestFit="1" customWidth="1"/>
    <col min="8" max="8" width="13.33203125" style="17" bestFit="1" customWidth="1"/>
    <col min="9" max="9" width="16.21875" style="17" bestFit="1" customWidth="1"/>
    <col min="10" max="11" width="9.109375" style="17"/>
    <col min="12" max="12" width="21.77734375" style="17" bestFit="1" customWidth="1"/>
    <col min="13" max="13" width="9.33203125" style="11" bestFit="1" customWidth="1"/>
    <col min="14" max="16384" width="9.109375" style="17"/>
  </cols>
  <sheetData>
    <row r="1" spans="1:14" ht="18">
      <c r="A1" s="3" t="s">
        <v>5</v>
      </c>
      <c r="M1" s="17"/>
    </row>
    <row r="2" spans="1:14" ht="18">
      <c r="A2" s="3" t="s">
        <v>7</v>
      </c>
      <c r="G2" s="30" t="s">
        <v>19</v>
      </c>
      <c r="H2" s="30"/>
      <c r="I2" s="30"/>
      <c r="J2" s="30"/>
      <c r="K2" s="2" t="s">
        <v>12</v>
      </c>
      <c r="L2" s="2" t="s">
        <v>11</v>
      </c>
      <c r="M2" s="17"/>
    </row>
    <row r="3" spans="1:14" ht="18">
      <c r="A3" s="3" t="s">
        <v>6</v>
      </c>
      <c r="G3" s="30"/>
      <c r="H3" s="30"/>
      <c r="I3" s="30"/>
      <c r="J3" s="30"/>
      <c r="K3" s="2" t="s">
        <v>13</v>
      </c>
      <c r="M3" s="4" t="str">
        <f>Main!G27</f>
        <v/>
      </c>
    </row>
    <row r="4" spans="1:14">
      <c r="M4" s="17"/>
    </row>
    <row r="5" spans="1:14">
      <c r="B5" s="8" t="s">
        <v>0</v>
      </c>
      <c r="C5" s="8" t="s">
        <v>1</v>
      </c>
      <c r="D5" s="8" t="s">
        <v>2</v>
      </c>
      <c r="E5" s="6" t="s">
        <v>4</v>
      </c>
      <c r="F5" s="4" t="s">
        <v>8</v>
      </c>
      <c r="G5" s="4" t="s">
        <v>3</v>
      </c>
      <c r="H5" s="4" t="s">
        <v>9</v>
      </c>
      <c r="I5" s="4" t="s">
        <v>10</v>
      </c>
      <c r="J5" s="8" t="s">
        <v>14</v>
      </c>
      <c r="K5" s="8" t="s">
        <v>15</v>
      </c>
      <c r="L5" s="8" t="s">
        <v>17</v>
      </c>
      <c r="M5" s="17"/>
      <c r="N5" s="9"/>
    </row>
    <row r="6" spans="1:14">
      <c r="B6" s="18"/>
      <c r="C6" s="8"/>
      <c r="D6" s="8"/>
      <c r="E6" s="5" t="str">
        <f>IFERROR(ABS(Table22[[#This Row],[x2]]-Table22[[#This Row],[x1]])*100/AVERAGE(Table22[[#This Row],[x1]]:Table22[[#This Row],[x2]]),"")</f>
        <v/>
      </c>
      <c r="F6" s="4" t="str">
        <f>IF(ISBLANK(Table22[[#This Row],[Date]]),"",IF(Table22[[#This Row],[RPD]]&gt;10,"N","Y"))</f>
        <v/>
      </c>
      <c r="G6" s="4" t="str">
        <f>IF(ISBLANK(Table22[[#This Row],[x1]]),"",AVERAGE(Table22[[#This Row],[x1]:[x2]]))</f>
        <v/>
      </c>
      <c r="H6" s="4" t="str">
        <f>IF(ISBLANK(Table22[[#This Row],[x1]]),"",ABS(Table22[[#This Row],[x1]]-Table22[[#This Row],[x2]]))</f>
        <v/>
      </c>
      <c r="I6" s="4" t="str">
        <f>IF(Table22[[#This Row],[Date]]="","",IF(Table22[[#This Row],[Diference]]&gt;$M$3,"N","Y"))</f>
        <v/>
      </c>
      <c r="J6" s="6" t="str">
        <f>IFERROR(IF(ISBLANK(Table22[[#This Row],[Date]]),"",$G$26-Table22[[#This Row],[x1]])/$G$26,"")</f>
        <v/>
      </c>
      <c r="K6" s="6" t="str">
        <f>IFERROR(IF(ISBLANK(Table22[[#This Row],[Date]]),"",$G$26-Table22[[#This Row],[x2]])/$G$26,"")</f>
        <v/>
      </c>
      <c r="L6" s="6" t="str">
        <f>IFERROR(IF(ISBLANK(Table22[[#This Row],[Date]]),"",Table22[[#This Row],[Average]]/$G$26),"")</f>
        <v/>
      </c>
      <c r="M6" s="17"/>
      <c r="N6" s="9"/>
    </row>
    <row r="7" spans="1:14">
      <c r="B7" s="18"/>
      <c r="C7" s="1"/>
      <c r="D7" s="1"/>
      <c r="E7" s="5" t="str">
        <f>IFERROR(ABS(Table22[[#This Row],[x2]]-Table22[[#This Row],[x1]])*100/AVERAGE(Table22[[#This Row],[x1]]:Table22[[#This Row],[x2]]),"")</f>
        <v/>
      </c>
      <c r="F7" s="4" t="str">
        <f>IF(ISBLANK(Table22[[#This Row],[Date]]),"",IF(Table22[[#This Row],[RPD]]&gt;10,"N","Y"))</f>
        <v/>
      </c>
      <c r="G7" s="4" t="str">
        <f>IF(ISBLANK(Table22[[#This Row],[x1]]),"",AVERAGE(Table22[[#This Row],[x1]:[x2]]))</f>
        <v/>
      </c>
      <c r="H7" s="4" t="str">
        <f>IF(ISBLANK(Table22[[#This Row],[x1]]),"",ABS(Table22[[#This Row],[x1]]-Table22[[#This Row],[x2]]))</f>
        <v/>
      </c>
      <c r="I7" s="4" t="str">
        <f>IF(Table22[[#This Row],[Date]]="","",IF(Table22[[#This Row],[Diference]]&gt;$M$3,"N","Y"))</f>
        <v/>
      </c>
      <c r="J7" s="6" t="str">
        <f>IFERROR(IF(ISBLANK(Table22[[#This Row],[Date]]),"",$G$26-Table22[[#This Row],[x1]])/$G$26,"")</f>
        <v/>
      </c>
      <c r="K7" s="6" t="str">
        <f>IFERROR(IF(ISBLANK(Table22[[#This Row],[Date]]),"",$G$26-Table22[[#This Row],[x2]])/$G$26,"")</f>
        <v/>
      </c>
      <c r="L7" s="6" t="str">
        <f>IFERROR(IF(ISBLANK(Table22[[#This Row],[Date]]),"",Table22[[#This Row],[Average]]/$G$26),"")</f>
        <v/>
      </c>
      <c r="M7" s="17"/>
      <c r="N7" s="9"/>
    </row>
    <row r="8" spans="1:14">
      <c r="B8" s="18"/>
      <c r="C8" s="8"/>
      <c r="D8" s="8"/>
      <c r="E8" s="5" t="str">
        <f>IFERROR(ABS(Table22[[#This Row],[x2]]-Table22[[#This Row],[x1]])*100/AVERAGE(Table22[[#This Row],[x1]]:Table22[[#This Row],[x2]]),"")</f>
        <v/>
      </c>
      <c r="F8" s="4" t="str">
        <f>IF(ISBLANK(Table22[[#This Row],[Date]]),"",IF(Table22[[#This Row],[RPD]]&gt;10,"N","Y"))</f>
        <v/>
      </c>
      <c r="G8" s="4" t="str">
        <f>IF(ISBLANK(Table22[[#This Row],[x1]]),"",AVERAGE(Table22[[#This Row],[x1]:[x2]]))</f>
        <v/>
      </c>
      <c r="H8" s="4" t="str">
        <f>IF(ISBLANK(Table22[[#This Row],[x1]]),"",ABS(Table22[[#This Row],[x1]]-Table22[[#This Row],[x2]]))</f>
        <v/>
      </c>
      <c r="I8" s="4" t="str">
        <f>IF(Table22[[#This Row],[Date]]="","",IF(Table22[[#This Row],[Diference]]&gt;$M$3,"N","Y"))</f>
        <v/>
      </c>
      <c r="J8" s="6" t="str">
        <f>IFERROR(IF(ISBLANK(Table22[[#This Row],[Date]]),"",$G$26-Table22[[#This Row],[x1]])/$G$26,"")</f>
        <v/>
      </c>
      <c r="K8" s="6" t="str">
        <f>IFERROR(IF(ISBLANK(Table22[[#This Row],[Date]]),"",$G$26-Table22[[#This Row],[x2]])/$G$26,"")</f>
        <v/>
      </c>
      <c r="L8" s="6" t="str">
        <f>IFERROR(IF(ISBLANK(Table22[[#This Row],[Date]]),"",Table22[[#This Row],[Average]]/$G$26),"")</f>
        <v/>
      </c>
      <c r="M8" s="17"/>
      <c r="N8" s="9"/>
    </row>
    <row r="9" spans="1:14">
      <c r="B9" s="18"/>
      <c r="C9" s="8"/>
      <c r="D9" s="8"/>
      <c r="E9" s="5" t="str">
        <f>IFERROR(ABS(Table22[[#This Row],[x2]]-Table22[[#This Row],[x1]])*100/AVERAGE(Table22[[#This Row],[x1]]:Table22[[#This Row],[x2]]),"")</f>
        <v/>
      </c>
      <c r="F9" s="4" t="str">
        <f>IF(ISBLANK(Table22[[#This Row],[Date]]),"",IF(Table22[[#This Row],[RPD]]&gt;10,"N","Y"))</f>
        <v/>
      </c>
      <c r="G9" s="4" t="str">
        <f>IF(ISBLANK(Table22[[#This Row],[x1]]),"",AVERAGE(Table22[[#This Row],[x1]:[x2]]))</f>
        <v/>
      </c>
      <c r="H9" s="4" t="str">
        <f>IF(ISBLANK(Table22[[#This Row],[x1]]),"",ABS(Table22[[#This Row],[x1]]-Table22[[#This Row],[x2]]))</f>
        <v/>
      </c>
      <c r="I9" s="4" t="str">
        <f>IF(Table22[[#This Row],[Date]]="","",IF(Table22[[#This Row],[Diference]]&gt;$M$3,"N","Y"))</f>
        <v/>
      </c>
      <c r="J9" s="6" t="str">
        <f>IFERROR(IF(ISBLANK(Table22[[#This Row],[Date]]),"",$G$26-Table22[[#This Row],[x1]])/$G$26,"")</f>
        <v/>
      </c>
      <c r="K9" s="6" t="str">
        <f>IFERROR(IF(ISBLANK(Table22[[#This Row],[Date]]),"",$G$26-Table22[[#This Row],[x2]])/$G$26,"")</f>
        <v/>
      </c>
      <c r="L9" s="6" t="str">
        <f>IFERROR(IF(ISBLANK(Table22[[#This Row],[Date]]),"",Table22[[#This Row],[Average]]/$G$26),"")</f>
        <v/>
      </c>
      <c r="M9" s="17"/>
      <c r="N9" s="9"/>
    </row>
    <row r="10" spans="1:14">
      <c r="B10" s="18"/>
      <c r="C10" s="8"/>
      <c r="D10" s="8"/>
      <c r="E10" s="5" t="str">
        <f>IFERROR(ABS(Table22[[#This Row],[x2]]-Table22[[#This Row],[x1]])*100/AVERAGE(Table22[[#This Row],[x1]]:Table22[[#This Row],[x2]]),"")</f>
        <v/>
      </c>
      <c r="F10" s="4" t="str">
        <f>IF(ISBLANK(Table22[[#This Row],[Date]]),"",IF(Table22[[#This Row],[RPD]]&gt;10,"N","Y"))</f>
        <v/>
      </c>
      <c r="G10" s="4" t="str">
        <f>IF(ISBLANK(Table22[[#This Row],[x1]]),"",AVERAGE(Table22[[#This Row],[x1]:[x2]]))</f>
        <v/>
      </c>
      <c r="H10" s="4" t="str">
        <f>IF(ISBLANK(Table22[[#This Row],[x1]]),"",ABS(Table22[[#This Row],[x1]]-Table22[[#This Row],[x2]]))</f>
        <v/>
      </c>
      <c r="I10" s="4" t="str">
        <f>IF(Table22[[#This Row],[Date]]="","",IF(Table22[[#This Row],[Diference]]&gt;$M$3,"N","Y"))</f>
        <v/>
      </c>
      <c r="J10" s="6" t="str">
        <f>IFERROR(IF(ISBLANK(Table22[[#This Row],[Date]]),"",$G$26-Table22[[#This Row],[x1]])/$G$26,"")</f>
        <v/>
      </c>
      <c r="K10" s="6" t="str">
        <f>IFERROR(IF(ISBLANK(Table22[[#This Row],[Date]]),"",$G$26-Table22[[#This Row],[x2]])/$G$26,"")</f>
        <v/>
      </c>
      <c r="L10" s="6" t="str">
        <f>IFERROR(IF(ISBLANK(Table22[[#This Row],[Date]]),"",Table22[[#This Row],[Average]]/$G$26),"")</f>
        <v/>
      </c>
      <c r="M10" s="17"/>
      <c r="N10" s="9"/>
    </row>
    <row r="11" spans="1:14">
      <c r="B11" s="18"/>
      <c r="C11" s="8"/>
      <c r="D11" s="8"/>
      <c r="E11" s="5" t="str">
        <f>IFERROR(ABS(Table22[[#This Row],[x2]]-Table22[[#This Row],[x1]])*100/AVERAGE(Table22[[#This Row],[x1]]:Table22[[#This Row],[x2]]),"")</f>
        <v/>
      </c>
      <c r="F11" s="4" t="str">
        <f>IF(ISBLANK(Table22[[#This Row],[Date]]),"",IF(Table22[[#This Row],[RPD]]&gt;10,"N","Y"))</f>
        <v/>
      </c>
      <c r="G11" s="4" t="str">
        <f>IF(ISBLANK(Table22[[#This Row],[x1]]),"",AVERAGE(Table22[[#This Row],[x1]:[x2]]))</f>
        <v/>
      </c>
      <c r="H11" s="4" t="str">
        <f>IF(ISBLANK(Table22[[#This Row],[x1]]),"",ABS(Table22[[#This Row],[x1]]-Table22[[#This Row],[x2]]))</f>
        <v/>
      </c>
      <c r="I11" s="4" t="str">
        <f>IF(Table22[[#This Row],[Date]]="","",IF(Table22[[#This Row],[Diference]]&gt;$M$3,"N","Y"))</f>
        <v/>
      </c>
      <c r="J11" s="6" t="str">
        <f>IFERROR(IF(ISBLANK(Table22[[#This Row],[Date]]),"",$G$26-Table22[[#This Row],[x1]])/$G$26,"")</f>
        <v/>
      </c>
      <c r="K11" s="6" t="str">
        <f>IFERROR(IF(ISBLANK(Table22[[#This Row],[Date]]),"",$G$26-Table22[[#This Row],[x2]])/$G$26,"")</f>
        <v/>
      </c>
      <c r="L11" s="6" t="str">
        <f>IFERROR(IF(ISBLANK(Table22[[#This Row],[Date]]),"",Table22[[#This Row],[Average]]/$G$26),"")</f>
        <v/>
      </c>
      <c r="M11" s="17"/>
      <c r="N11" s="9"/>
    </row>
    <row r="12" spans="1:14">
      <c r="B12" s="18"/>
      <c r="C12" s="8"/>
      <c r="D12" s="8"/>
      <c r="E12" s="5" t="str">
        <f>IFERROR(ABS(Table22[[#This Row],[x2]]-Table22[[#This Row],[x1]])*100/AVERAGE(Table22[[#This Row],[x1]]:Table22[[#This Row],[x2]]),"")</f>
        <v/>
      </c>
      <c r="F12" s="4" t="str">
        <f>IF(ISBLANK(Table22[[#This Row],[Date]]),"",IF(Table22[[#This Row],[RPD]]&gt;10,"N","Y"))</f>
        <v/>
      </c>
      <c r="G12" s="4" t="str">
        <f>IF(ISBLANK(Table22[[#This Row],[x1]]),"",AVERAGE(Table22[[#This Row],[x1]:[x2]]))</f>
        <v/>
      </c>
      <c r="H12" s="4" t="str">
        <f>IF(ISBLANK(Table22[[#This Row],[x1]]),"",ABS(Table22[[#This Row],[x1]]-Table22[[#This Row],[x2]]))</f>
        <v/>
      </c>
      <c r="I12" s="4" t="str">
        <f>IF(Table22[[#This Row],[Date]]="","",IF(Table22[[#This Row],[Diference]]&gt;$M$3,"N","Y"))</f>
        <v/>
      </c>
      <c r="J12" s="6" t="str">
        <f>IFERROR(IF(ISBLANK(Table22[[#This Row],[Date]]),"",$G$26-Table22[[#This Row],[x1]])/$G$26,"")</f>
        <v/>
      </c>
      <c r="K12" s="6" t="str">
        <f>IFERROR(IF(ISBLANK(Table22[[#This Row],[Date]]),"",$G$26-Table22[[#This Row],[x2]])/$G$26,"")</f>
        <v/>
      </c>
      <c r="L12" s="6" t="str">
        <f>IFERROR(IF(ISBLANK(Table22[[#This Row],[Date]]),"",Table22[[#This Row],[Average]]/$G$26),"")</f>
        <v/>
      </c>
      <c r="M12" s="17"/>
      <c r="N12" s="9"/>
    </row>
    <row r="13" spans="1:14">
      <c r="B13" s="18"/>
      <c r="C13" s="8"/>
      <c r="D13" s="8"/>
      <c r="E13" s="5" t="str">
        <f>IFERROR(ABS(Table22[[#This Row],[x2]]-Table22[[#This Row],[x1]])*100/AVERAGE(Table22[[#This Row],[x1]]:Table22[[#This Row],[x2]]),"")</f>
        <v/>
      </c>
      <c r="F13" s="4" t="str">
        <f>IF(ISBLANK(Table22[[#This Row],[Date]]),"",IF(Table22[[#This Row],[RPD]]&gt;10,"N","Y"))</f>
        <v/>
      </c>
      <c r="G13" s="4" t="str">
        <f>IF(ISBLANK(Table22[[#This Row],[x1]]),"",AVERAGE(Table22[[#This Row],[x1]:[x2]]))</f>
        <v/>
      </c>
      <c r="H13" s="4" t="str">
        <f>IF(ISBLANK(Table22[[#This Row],[x1]]),"",ABS(Table22[[#This Row],[x1]]-Table22[[#This Row],[x2]]))</f>
        <v/>
      </c>
      <c r="I13" s="4" t="str">
        <f>IF(Table22[[#This Row],[Date]]="","",IF(Table22[[#This Row],[Diference]]&gt;$M$3,"N","Y"))</f>
        <v/>
      </c>
      <c r="J13" s="6" t="str">
        <f>IFERROR(IF(ISBLANK(Table22[[#This Row],[Date]]),"",$G$26-Table22[[#This Row],[x1]])/$G$26,"")</f>
        <v/>
      </c>
      <c r="K13" s="6" t="str">
        <f>IFERROR(IF(ISBLANK(Table22[[#This Row],[Date]]),"",$G$26-Table22[[#This Row],[x2]])/$G$26,"")</f>
        <v/>
      </c>
      <c r="L13" s="6" t="str">
        <f>IFERROR(IF(ISBLANK(Table22[[#This Row],[Date]]),"",Table22[[#This Row],[Average]]/$G$26),"")</f>
        <v/>
      </c>
      <c r="M13" s="17"/>
      <c r="N13" s="9"/>
    </row>
    <row r="14" spans="1:14">
      <c r="B14" s="18"/>
      <c r="C14" s="8"/>
      <c r="D14" s="8"/>
      <c r="E14" s="5" t="str">
        <f>IFERROR(ABS(Table22[[#This Row],[x2]]-Table22[[#This Row],[x1]])*100/AVERAGE(Table22[[#This Row],[x1]]:Table22[[#This Row],[x2]]),"")</f>
        <v/>
      </c>
      <c r="F14" s="4" t="str">
        <f>IF(ISBLANK(Table22[[#This Row],[Date]]),"",IF(Table22[[#This Row],[RPD]]&gt;10,"N","Y"))</f>
        <v/>
      </c>
      <c r="G14" s="4" t="str">
        <f>IF(ISBLANK(Table22[[#This Row],[x1]]),"",AVERAGE(Table22[[#This Row],[x1]:[x2]]))</f>
        <v/>
      </c>
      <c r="H14" s="4" t="str">
        <f>IF(ISBLANK(Table22[[#This Row],[x1]]),"",ABS(Table22[[#This Row],[x1]]-Table22[[#This Row],[x2]]))</f>
        <v/>
      </c>
      <c r="I14" s="4" t="str">
        <f>IF(Table22[[#This Row],[Date]]="","",IF(Table22[[#This Row],[Diference]]&gt;$M$3,"N","Y"))</f>
        <v/>
      </c>
      <c r="J14" s="6" t="str">
        <f>IFERROR(IF(ISBLANK(Table22[[#This Row],[Date]]),"",$G$26-Table22[[#This Row],[x1]])/$G$26,"")</f>
        <v/>
      </c>
      <c r="K14" s="6" t="str">
        <f>IFERROR(IF(ISBLANK(Table22[[#This Row],[Date]]),"",$G$26-Table22[[#This Row],[x2]])/$G$26,"")</f>
        <v/>
      </c>
      <c r="L14" s="6" t="str">
        <f>IFERROR(IF(ISBLANK(Table22[[#This Row],[Date]]),"",Table22[[#This Row],[Average]]/$G$26),"")</f>
        <v/>
      </c>
      <c r="M14" s="17"/>
      <c r="N14" s="9"/>
    </row>
    <row r="15" spans="1:14">
      <c r="B15" s="18"/>
      <c r="C15" s="8"/>
      <c r="D15" s="8"/>
      <c r="E15" s="5" t="str">
        <f>IFERROR(ABS(Table22[[#This Row],[x2]]-Table22[[#This Row],[x1]])*100/AVERAGE(Table22[[#This Row],[x1]]:Table22[[#This Row],[x2]]),"")</f>
        <v/>
      </c>
      <c r="F15" s="4" t="str">
        <f>IF(ISBLANK(Table22[[#This Row],[Date]]),"",IF(Table22[[#This Row],[RPD]]&gt;10,"N","Y"))</f>
        <v/>
      </c>
      <c r="G15" s="4" t="str">
        <f>IF(ISBLANK(Table22[[#This Row],[x1]]),"",AVERAGE(Table22[[#This Row],[x1]:[x2]]))</f>
        <v/>
      </c>
      <c r="H15" s="4" t="str">
        <f>IF(ISBLANK(Table22[[#This Row],[x1]]),"",ABS(Table22[[#This Row],[x1]]-Table22[[#This Row],[x2]]))</f>
        <v/>
      </c>
      <c r="I15" s="4" t="str">
        <f>IF(Table22[[#This Row],[Date]]="","",IF(Table22[[#This Row],[Diference]]&gt;$M$3,"N","Y"))</f>
        <v/>
      </c>
      <c r="J15" s="6" t="str">
        <f>IFERROR(IF(ISBLANK(Table22[[#This Row],[Date]]),"",$G$26-Table22[[#This Row],[x1]])/$G$26,"")</f>
        <v/>
      </c>
      <c r="K15" s="6" t="str">
        <f>IFERROR(IF(ISBLANK(Table22[[#This Row],[Date]]),"",$G$26-Table22[[#This Row],[x2]])/$G$26,"")</f>
        <v/>
      </c>
      <c r="L15" s="6" t="str">
        <f>IFERROR(IF(ISBLANK(Table22[[#This Row],[Date]]),"",Table22[[#This Row],[Average]]/$G$26),"")</f>
        <v/>
      </c>
      <c r="M15" s="17"/>
      <c r="N15" s="9"/>
    </row>
    <row r="16" spans="1:14">
      <c r="B16" s="18"/>
      <c r="C16" s="8"/>
      <c r="D16" s="8"/>
      <c r="E16" s="5" t="str">
        <f>IFERROR(ABS(Table22[[#This Row],[x2]]-Table22[[#This Row],[x1]])*100/AVERAGE(Table22[[#This Row],[x1]]:Table22[[#This Row],[x2]]),"")</f>
        <v/>
      </c>
      <c r="F16" s="4" t="str">
        <f>IF(ISBLANK(Table22[[#This Row],[Date]]),"",IF(Table22[[#This Row],[RPD]]&gt;10,"N","Y"))</f>
        <v/>
      </c>
      <c r="G16" s="4" t="str">
        <f>IF(ISBLANK(Table22[[#This Row],[x1]]),"",AVERAGE(Table22[[#This Row],[x1]:[x2]]))</f>
        <v/>
      </c>
      <c r="H16" s="4" t="str">
        <f>IF(ISBLANK(Table22[[#This Row],[x1]]),"",ABS(Table22[[#This Row],[x1]]-Table22[[#This Row],[x2]]))</f>
        <v/>
      </c>
      <c r="I16" s="4" t="str">
        <f>IF(Table22[[#This Row],[Date]]="","",IF(Table22[[#This Row],[Diference]]&gt;$M$3,"N","Y"))</f>
        <v/>
      </c>
      <c r="J16" s="6" t="str">
        <f>IFERROR(IF(ISBLANK(Table22[[#This Row],[Date]]),"",$G$26-Table22[[#This Row],[x1]])/$G$26,"")</f>
        <v/>
      </c>
      <c r="K16" s="6" t="str">
        <f>IFERROR(IF(ISBLANK(Table22[[#This Row],[Date]]),"",$G$26-Table22[[#This Row],[x2]])/$G$26,"")</f>
        <v/>
      </c>
      <c r="L16" s="6" t="str">
        <f>IFERROR(IF(ISBLANK(Table22[[#This Row],[Date]]),"",Table22[[#This Row],[Average]]/$G$26),"")</f>
        <v/>
      </c>
      <c r="M16" s="17"/>
      <c r="N16" s="9"/>
    </row>
    <row r="17" spans="2:14">
      <c r="B17" s="18"/>
      <c r="C17" s="8"/>
      <c r="D17" s="8"/>
      <c r="E17" s="5" t="str">
        <f>IFERROR(ABS(Table22[[#This Row],[x2]]-Table22[[#This Row],[x1]])*100/AVERAGE(Table22[[#This Row],[x1]]:Table22[[#This Row],[x2]]),"")</f>
        <v/>
      </c>
      <c r="F17" s="4" t="str">
        <f>IF(ISBLANK(Table22[[#This Row],[Date]]),"",IF(Table22[[#This Row],[RPD]]&gt;10,"N","Y"))</f>
        <v/>
      </c>
      <c r="G17" s="4" t="str">
        <f>IF(ISBLANK(Table22[[#This Row],[x1]]),"",AVERAGE(Table22[[#This Row],[x1]:[x2]]))</f>
        <v/>
      </c>
      <c r="H17" s="4" t="str">
        <f>IF(ISBLANK(Table22[[#This Row],[x1]]),"",ABS(Table22[[#This Row],[x1]]-Table22[[#This Row],[x2]]))</f>
        <v/>
      </c>
      <c r="I17" s="4" t="str">
        <f>IF(Table22[[#This Row],[Date]]="","",IF(Table22[[#This Row],[Diference]]&gt;$M$3,"N","Y"))</f>
        <v/>
      </c>
      <c r="J17" s="6" t="str">
        <f>IFERROR(IF(ISBLANK(Table22[[#This Row],[Date]]),"",$G$26-Table22[[#This Row],[x1]])/$G$26,"")</f>
        <v/>
      </c>
      <c r="K17" s="6" t="str">
        <f>IFERROR(IF(ISBLANK(Table22[[#This Row],[Date]]),"",$G$26-Table22[[#This Row],[x2]])/$G$26,"")</f>
        <v/>
      </c>
      <c r="L17" s="6" t="str">
        <f>IFERROR(IF(ISBLANK(Table22[[#This Row],[Date]]),"",Table22[[#This Row],[Average]]/$G$26),"")</f>
        <v/>
      </c>
      <c r="M17" s="17"/>
      <c r="N17" s="9"/>
    </row>
    <row r="18" spans="2:14">
      <c r="B18" s="18"/>
      <c r="C18" s="8"/>
      <c r="D18" s="8"/>
      <c r="E18" s="5" t="str">
        <f>IFERROR(ABS(Table22[[#This Row],[x2]]-Table22[[#This Row],[x1]])*100/AVERAGE(Table22[[#This Row],[x1]]:Table22[[#This Row],[x2]]),"")</f>
        <v/>
      </c>
      <c r="F18" s="4" t="str">
        <f>IF(ISBLANK(Table22[[#This Row],[Date]]),"",IF(Table22[[#This Row],[RPD]]&gt;10,"N","Y"))</f>
        <v/>
      </c>
      <c r="G18" s="4" t="str">
        <f>IF(ISBLANK(Table22[[#This Row],[x1]]),"",AVERAGE(Table22[[#This Row],[x1]:[x2]]))</f>
        <v/>
      </c>
      <c r="H18" s="4" t="str">
        <f>IF(ISBLANK(Table22[[#This Row],[x1]]),"",ABS(Table22[[#This Row],[x1]]-Table22[[#This Row],[x2]]))</f>
        <v/>
      </c>
      <c r="I18" s="4" t="str">
        <f>IF(Table22[[#This Row],[Date]]="","",IF(Table22[[#This Row],[Diference]]&gt;$M$3,"N","Y"))</f>
        <v/>
      </c>
      <c r="J18" s="6" t="str">
        <f>IFERROR(IF(ISBLANK(Table22[[#This Row],[Date]]),"",$G$26-Table22[[#This Row],[x1]])/$G$26,"")</f>
        <v/>
      </c>
      <c r="K18" s="6" t="str">
        <f>IFERROR(IF(ISBLANK(Table22[[#This Row],[Date]]),"",$G$26-Table22[[#This Row],[x2]])/$G$26,"")</f>
        <v/>
      </c>
      <c r="L18" s="6" t="str">
        <f>IFERROR(IF(ISBLANK(Table22[[#This Row],[Date]]),"",Table22[[#This Row],[Average]]/$G$26),"")</f>
        <v/>
      </c>
      <c r="M18" s="17"/>
      <c r="N18" s="9"/>
    </row>
    <row r="19" spans="2:14">
      <c r="B19" s="18"/>
      <c r="C19" s="8"/>
      <c r="D19" s="8"/>
      <c r="E19" s="5" t="str">
        <f>IFERROR(ABS(Table22[[#This Row],[x2]]-Table22[[#This Row],[x1]])*100/AVERAGE(Table22[[#This Row],[x1]]:Table22[[#This Row],[x2]]),"")</f>
        <v/>
      </c>
      <c r="F19" s="4" t="str">
        <f>IF(ISBLANK(Table22[[#This Row],[Date]]),"",IF(Table22[[#This Row],[RPD]]&gt;10,"N","Y"))</f>
        <v/>
      </c>
      <c r="G19" s="4" t="str">
        <f>IF(ISBLANK(Table22[[#This Row],[x1]]),"",AVERAGE(Table22[[#This Row],[x1]:[x2]]))</f>
        <v/>
      </c>
      <c r="H19" s="4" t="str">
        <f>IF(ISBLANK(Table22[[#This Row],[x1]]),"",ABS(Table22[[#This Row],[x1]]-Table22[[#This Row],[x2]]))</f>
        <v/>
      </c>
      <c r="I19" s="4" t="str">
        <f>IF(Table22[[#This Row],[Date]]="","",IF(Table22[[#This Row],[Diference]]&gt;$M$3,"N","Y"))</f>
        <v/>
      </c>
      <c r="J19" s="6" t="str">
        <f>IFERROR(IF(ISBLANK(Table22[[#This Row],[Date]]),"",$G$26-Table22[[#This Row],[x1]])/$G$26,"")</f>
        <v/>
      </c>
      <c r="K19" s="6" t="str">
        <f>IFERROR(IF(ISBLANK(Table22[[#This Row],[Date]]),"",$G$26-Table22[[#This Row],[x2]])/$G$26,"")</f>
        <v/>
      </c>
      <c r="L19" s="6" t="str">
        <f>IFERROR(IF(ISBLANK(Table22[[#This Row],[Date]]),"",Table22[[#This Row],[Average]]/$G$26),"")</f>
        <v/>
      </c>
      <c r="M19" s="17"/>
      <c r="N19" s="9"/>
    </row>
    <row r="20" spans="2:14">
      <c r="B20" s="18"/>
      <c r="C20" s="8"/>
      <c r="D20" s="8"/>
      <c r="E20" s="5" t="str">
        <f>IFERROR(ABS(Table22[[#This Row],[x2]]-Table22[[#This Row],[x1]])*100/AVERAGE(Table22[[#This Row],[x1]]:Table22[[#This Row],[x2]]),"")</f>
        <v/>
      </c>
      <c r="F20" s="4" t="str">
        <f>IF(ISBLANK(Table22[[#This Row],[Date]]),"",IF(Table22[[#This Row],[RPD]]&gt;10,"N","Y"))</f>
        <v/>
      </c>
      <c r="G20" s="4" t="str">
        <f>IF(ISBLANK(Table22[[#This Row],[x1]]),"",AVERAGE(Table22[[#This Row],[x1]:[x2]]))</f>
        <v/>
      </c>
      <c r="H20" s="4" t="str">
        <f>IF(ISBLANK(Table22[[#This Row],[x1]]),"",ABS(Table22[[#This Row],[x1]]-Table22[[#This Row],[x2]]))</f>
        <v/>
      </c>
      <c r="I20" s="4" t="str">
        <f>IF(Table22[[#This Row],[Date]]="","",IF(Table22[[#This Row],[Diference]]&gt;$M$3,"N","Y"))</f>
        <v/>
      </c>
      <c r="J20" s="6" t="str">
        <f>IFERROR(IF(ISBLANK(Table22[[#This Row],[Date]]),"",$G$26-Table22[[#This Row],[x1]])/$G$26,"")</f>
        <v/>
      </c>
      <c r="K20" s="6" t="str">
        <f>IFERROR(IF(ISBLANK(Table22[[#This Row],[Date]]),"",$G$26-Table22[[#This Row],[x2]])/$G$26,"")</f>
        <v/>
      </c>
      <c r="L20" s="6" t="str">
        <f>IFERROR(IF(ISBLANK(Table22[[#This Row],[Date]]),"",Table22[[#This Row],[Average]]/$G$26),"")</f>
        <v/>
      </c>
      <c r="M20" s="17"/>
      <c r="N20" s="9"/>
    </row>
    <row r="21" spans="2:14">
      <c r="B21" s="18"/>
      <c r="C21" s="8"/>
      <c r="D21" s="8"/>
      <c r="E21" s="5" t="str">
        <f>IFERROR(ABS(Table22[[#This Row],[x2]]-Table22[[#This Row],[x1]])*100/AVERAGE(Table22[[#This Row],[x1]]:Table22[[#This Row],[x2]]),"")</f>
        <v/>
      </c>
      <c r="F21" s="4" t="str">
        <f>IF(ISBLANK(Table22[[#This Row],[Date]]),"",IF(Table22[[#This Row],[RPD]]&gt;10,"N","Y"))</f>
        <v/>
      </c>
      <c r="G21" s="4" t="str">
        <f>IF(ISBLANK(Table22[[#This Row],[x1]]),"",AVERAGE(Table22[[#This Row],[x1]:[x2]]))</f>
        <v/>
      </c>
      <c r="H21" s="4" t="str">
        <f>IF(ISBLANK(Table22[[#This Row],[x1]]),"",ABS(Table22[[#This Row],[x1]]-Table22[[#This Row],[x2]]))</f>
        <v/>
      </c>
      <c r="I21" s="4" t="str">
        <f>IF(Table22[[#This Row],[Date]]="","",IF(Table22[[#This Row],[Diference]]&gt;$M$3,"N","Y"))</f>
        <v/>
      </c>
      <c r="J21" s="6" t="str">
        <f>IFERROR(IF(ISBLANK(Table22[[#This Row],[Date]]),"",$G$26-Table22[[#This Row],[x1]])/$G$26,"")</f>
        <v/>
      </c>
      <c r="K21" s="6" t="str">
        <f>IFERROR(IF(ISBLANK(Table22[[#This Row],[Date]]),"",$G$26-Table22[[#This Row],[x2]])/$G$26,"")</f>
        <v/>
      </c>
      <c r="L21" s="6" t="str">
        <f>IFERROR(IF(ISBLANK(Table22[[#This Row],[Date]]),"",Table22[[#This Row],[Average]]/$G$26),"")</f>
        <v/>
      </c>
      <c r="M21" s="17"/>
      <c r="N21" s="9"/>
    </row>
    <row r="22" spans="2:14">
      <c r="B22" s="18"/>
      <c r="C22" s="8"/>
      <c r="D22" s="8"/>
      <c r="E22" s="5" t="str">
        <f>IFERROR(ABS(Table22[[#This Row],[x2]]-Table22[[#This Row],[x1]])*100/AVERAGE(Table22[[#This Row],[x1]]:Table22[[#This Row],[x2]]),"")</f>
        <v/>
      </c>
      <c r="F22" s="4" t="str">
        <f>IF(ISBLANK(Table22[[#This Row],[Date]]),"",IF(Table22[[#This Row],[RPD]]&gt;10,"N","Y"))</f>
        <v/>
      </c>
      <c r="G22" s="4" t="str">
        <f>IF(ISBLANK(Table22[[#This Row],[x1]]),"",AVERAGE(Table22[[#This Row],[x1]:[x2]]))</f>
        <v/>
      </c>
      <c r="H22" s="4" t="str">
        <f>IF(ISBLANK(Table22[[#This Row],[x1]]),"",ABS(Table22[[#This Row],[x1]]-Table22[[#This Row],[x2]]))</f>
        <v/>
      </c>
      <c r="I22" s="4" t="str">
        <f>IF(Table22[[#This Row],[Date]]="","",IF(Table22[[#This Row],[Diference]]&gt;$M$3,"N","Y"))</f>
        <v/>
      </c>
      <c r="J22" s="6" t="str">
        <f>IFERROR(IF(ISBLANK(Table22[[#This Row],[Date]]),"",$G$26-Table22[[#This Row],[x1]])/$G$26,"")</f>
        <v/>
      </c>
      <c r="K22" s="6" t="str">
        <f>IFERROR(IF(ISBLANK(Table22[[#This Row],[Date]]),"",$G$26-Table22[[#This Row],[x2]])/$G$26,"")</f>
        <v/>
      </c>
      <c r="L22" s="6" t="str">
        <f>IFERROR(IF(ISBLANK(Table22[[#This Row],[Date]]),"",Table22[[#This Row],[Average]]/$G$26),"")</f>
        <v/>
      </c>
      <c r="M22" s="17"/>
      <c r="N22" s="9"/>
    </row>
    <row r="23" spans="2:14">
      <c r="B23" s="18"/>
      <c r="C23" s="8"/>
      <c r="D23" s="8"/>
      <c r="E23" s="5" t="str">
        <f>IFERROR(ABS(Table22[[#This Row],[x2]]-Table22[[#This Row],[x1]])*100/AVERAGE(Table22[[#This Row],[x1]]:Table22[[#This Row],[x2]]),"")</f>
        <v/>
      </c>
      <c r="F23" s="4" t="str">
        <f>IF(ISBLANK(Table22[[#This Row],[Date]]),"",IF(Table22[[#This Row],[RPD]]&gt;10,"N","Y"))</f>
        <v/>
      </c>
      <c r="G23" s="4" t="str">
        <f>IF(ISBLANK(Table22[[#This Row],[x1]]),"",AVERAGE(Table22[[#This Row],[x1]:[x2]]))</f>
        <v/>
      </c>
      <c r="H23" s="4" t="str">
        <f>IF(ISBLANK(Table22[[#This Row],[x1]]),"",ABS(Table22[[#This Row],[x1]]-Table22[[#This Row],[x2]]))</f>
        <v/>
      </c>
      <c r="I23" s="4" t="str">
        <f>IF(Table22[[#This Row],[Date]]="","",IF(Table22[[#This Row],[Diference]]&gt;$M$3,"N","Y"))</f>
        <v/>
      </c>
      <c r="J23" s="6" t="str">
        <f>IFERROR(IF(ISBLANK(Table22[[#This Row],[Date]]),"",$G$26-Table22[[#This Row],[x1]])/$G$26,"")</f>
        <v/>
      </c>
      <c r="K23" s="6" t="str">
        <f>IFERROR(IF(ISBLANK(Table22[[#This Row],[Date]]),"",$G$26-Table22[[#This Row],[x2]])/$G$26,"")</f>
        <v/>
      </c>
      <c r="L23" s="6" t="str">
        <f>IFERROR(IF(ISBLANK(Table22[[#This Row],[Date]]),"",Table22[[#This Row],[Average]]/$G$26),"")</f>
        <v/>
      </c>
      <c r="M23" s="17"/>
      <c r="N23" s="9"/>
    </row>
    <row r="24" spans="2:14">
      <c r="B24" s="18"/>
      <c r="C24" s="8"/>
      <c r="D24" s="8"/>
      <c r="E24" s="5" t="str">
        <f>IFERROR(ABS(Table22[[#This Row],[x2]]-Table22[[#This Row],[x1]])*100/AVERAGE(Table22[[#This Row],[x1]]:Table22[[#This Row],[x2]]),"")</f>
        <v/>
      </c>
      <c r="F24" s="4" t="str">
        <f>IF(ISBLANK(Table22[[#This Row],[Date]]),"",IF(Table22[[#This Row],[RPD]]&gt;10,"N","Y"))</f>
        <v/>
      </c>
      <c r="G24" s="4" t="str">
        <f>IF(ISBLANK(Table22[[#This Row],[x1]]),"",AVERAGE(Table22[[#This Row],[x1]:[x2]]))</f>
        <v/>
      </c>
      <c r="H24" s="4" t="str">
        <f>IF(ISBLANK(Table22[[#This Row],[x1]]),"",ABS(Table22[[#This Row],[x1]]-Table22[[#This Row],[x2]]))</f>
        <v/>
      </c>
      <c r="I24" s="4" t="str">
        <f>IF(Table22[[#This Row],[Date]]="","",IF(Table22[[#This Row],[Diference]]&gt;$M$3,"N","Y"))</f>
        <v/>
      </c>
      <c r="J24" s="6" t="str">
        <f>IFERROR(IF(ISBLANK(Table22[[#This Row],[Date]]),"",$G$26-Table22[[#This Row],[x1]])/$G$26,"")</f>
        <v/>
      </c>
      <c r="K24" s="6" t="str">
        <f>IFERROR(IF(ISBLANK(Table22[[#This Row],[Date]]),"",$G$26-Table22[[#This Row],[x2]])/$G$26,"")</f>
        <v/>
      </c>
      <c r="L24" s="6" t="str">
        <f>IFERROR(IF(ISBLANK(Table22[[#This Row],[Date]]),"",Table22[[#This Row],[Average]]/$G$26),"")</f>
        <v/>
      </c>
      <c r="M24" s="17"/>
      <c r="N24" s="9"/>
    </row>
    <row r="25" spans="2:14">
      <c r="B25" s="18"/>
      <c r="C25" s="8"/>
      <c r="D25" s="8"/>
      <c r="E25" s="5" t="str">
        <f>IFERROR(ABS(Table22[[#This Row],[x2]]-Table22[[#This Row],[x1]])*100/AVERAGE(Table22[[#This Row],[x1]]:Table22[[#This Row],[x2]]),"")</f>
        <v/>
      </c>
      <c r="F25" s="4" t="str">
        <f>IF(ISBLANK(Table22[[#This Row],[Date]]),"",IF(Table22[[#This Row],[RPD]]&gt;10,"N","Y"))</f>
        <v/>
      </c>
      <c r="G25" s="4" t="str">
        <f>IF(ISBLANK(Table22[[#This Row],[x1]]),"",AVERAGE(Table22[[#This Row],[x1]:[x2]]))</f>
        <v/>
      </c>
      <c r="H25" s="4" t="str">
        <f>IF(ISBLANK(Table22[[#This Row],[x1]]),"",ABS(Table22[[#This Row],[x1]]-Table22[[#This Row],[x2]]))</f>
        <v/>
      </c>
      <c r="I25" s="4" t="str">
        <f>IF(Table22[[#This Row],[Date]]="","",IF(Table22[[#This Row],[Diference]]&gt;$M$3,"N","Y"))</f>
        <v/>
      </c>
      <c r="J25" s="6" t="str">
        <f>IFERROR(IF(ISBLANK(Table22[[#This Row],[Date]]),"",$G$26-Table22[[#This Row],[x1]])/$G$26,"")</f>
        <v/>
      </c>
      <c r="K25" s="6" t="str">
        <f>IFERROR(IF(ISBLANK(Table22[[#This Row],[Date]]),"",$G$26-Table22[[#This Row],[x2]])/$G$26,"")</f>
        <v/>
      </c>
      <c r="L25" s="6" t="str">
        <f>IFERROR(IF(ISBLANK(Table22[[#This Row],[Date]]),"",Table22[[#This Row],[Average]]/$G$26),"")</f>
        <v/>
      </c>
      <c r="M25" s="17"/>
      <c r="N25" s="9"/>
    </row>
    <row r="26" spans="2:14">
      <c r="B26" s="10"/>
      <c r="C26" s="8"/>
      <c r="D26" s="8"/>
      <c r="E26" s="4"/>
      <c r="F26" s="4" t="s">
        <v>16</v>
      </c>
      <c r="G26" s="19" t="str">
        <f>IFERROR(AVERAGE(Table22[Average]),"")</f>
        <v/>
      </c>
      <c r="H26" s="4"/>
      <c r="I26" s="4"/>
      <c r="J26" s="8"/>
      <c r="K26" s="8"/>
      <c r="L26"/>
      <c r="M26" s="17"/>
    </row>
    <row r="27" spans="2:14">
      <c r="F27" s="17" t="s">
        <v>18</v>
      </c>
      <c r="G27" s="2" t="str">
        <f>IFERROR(2.8*_xlfn.STDEV.S(Table22[Average]),"")</f>
        <v/>
      </c>
    </row>
    <row r="29" spans="2:14">
      <c r="H29" s="2"/>
    </row>
    <row r="30" spans="2:14">
      <c r="B30" s="9"/>
    </row>
    <row r="31" spans="2:14">
      <c r="B31" s="12"/>
      <c r="D31" s="13"/>
      <c r="E31" s="13"/>
      <c r="F31" s="13"/>
    </row>
    <row r="32" spans="2:14">
      <c r="B32" s="12"/>
      <c r="D32" s="13"/>
      <c r="E32" s="13"/>
      <c r="F32" s="13"/>
    </row>
    <row r="33" spans="2:6">
      <c r="B33" s="12"/>
      <c r="D33" s="13"/>
      <c r="E33" s="13"/>
      <c r="F33" s="13"/>
    </row>
    <row r="34" spans="2:6">
      <c r="B34" s="12"/>
      <c r="D34" s="13"/>
      <c r="E34" s="13"/>
      <c r="F34" s="13"/>
    </row>
    <row r="35" spans="2:6">
      <c r="B35" s="12"/>
      <c r="D35" s="13"/>
      <c r="E35" s="13"/>
      <c r="F35" s="13"/>
    </row>
    <row r="36" spans="2:6">
      <c r="B36" s="12"/>
      <c r="D36" s="13"/>
      <c r="E36" s="13"/>
      <c r="F36" s="13"/>
    </row>
    <row r="37" spans="2:6">
      <c r="B37" s="12"/>
      <c r="D37" s="13"/>
      <c r="E37" s="13"/>
      <c r="F37" s="13"/>
    </row>
    <row r="38" spans="2:6">
      <c r="B38" s="12"/>
      <c r="D38" s="13"/>
      <c r="E38" s="13"/>
      <c r="F38" s="13"/>
    </row>
    <row r="39" spans="2:6">
      <c r="B39" s="12"/>
      <c r="D39" s="13"/>
      <c r="E39" s="13"/>
      <c r="F39" s="13"/>
    </row>
    <row r="40" spans="2:6">
      <c r="B40" s="12"/>
      <c r="D40" s="13"/>
      <c r="E40" s="13"/>
      <c r="F40" s="13"/>
    </row>
    <row r="41" spans="2:6">
      <c r="B41" s="12"/>
      <c r="D41" s="13"/>
      <c r="E41" s="13"/>
      <c r="F41" s="13"/>
    </row>
    <row r="42" spans="2:6">
      <c r="B42" s="12"/>
      <c r="D42" s="13"/>
      <c r="E42" s="13"/>
      <c r="F42" s="13"/>
    </row>
    <row r="43" spans="2:6">
      <c r="B43" s="12"/>
      <c r="D43" s="13"/>
      <c r="E43" s="13"/>
      <c r="F43" s="13"/>
    </row>
    <row r="44" spans="2:6">
      <c r="B44" s="12"/>
      <c r="D44" s="13"/>
      <c r="E44" s="13"/>
      <c r="F44" s="13"/>
    </row>
    <row r="45" spans="2:6">
      <c r="B45" s="12"/>
      <c r="D45" s="13"/>
      <c r="E45" s="13"/>
      <c r="F45" s="13"/>
    </row>
    <row r="46" spans="2:6">
      <c r="B46" s="12"/>
      <c r="D46" s="13"/>
      <c r="E46" s="13"/>
      <c r="F46" s="13"/>
    </row>
    <row r="47" spans="2:6">
      <c r="B47" s="12"/>
      <c r="D47" s="13"/>
      <c r="E47" s="13"/>
      <c r="F47" s="13"/>
    </row>
    <row r="48" spans="2:6">
      <c r="B48" s="12"/>
      <c r="D48" s="13"/>
      <c r="E48" s="13"/>
      <c r="F48" s="13"/>
    </row>
    <row r="49" spans="2:6">
      <c r="B49" s="12"/>
      <c r="D49" s="13"/>
      <c r="E49" s="13"/>
      <c r="F49" s="13"/>
    </row>
    <row r="50" spans="2:6">
      <c r="D50" s="13"/>
      <c r="E50" s="13"/>
      <c r="F50" s="13"/>
    </row>
    <row r="52" spans="2:6">
      <c r="D52" s="13"/>
      <c r="E52" s="13"/>
      <c r="F52" s="13"/>
    </row>
    <row r="53" spans="2:6">
      <c r="D53" s="13"/>
      <c r="E53" s="13"/>
      <c r="F53" s="13"/>
    </row>
    <row r="54" spans="2:6">
      <c r="D54" s="13"/>
      <c r="E54" s="13"/>
      <c r="F54" s="13"/>
    </row>
  </sheetData>
  <sheetProtection algorithmName="SHA-512" hashValue="4NylZwHNXTzcwF6E86VYa8fThD+eWipdhf9eWnafe5hcLK7wiiuSNC3sxJ3/+9Qgg2xAlU2Jcj1me5ch5cMyWg==" saltValue="6yuoModwlL5/RpYUn1I5fw==" spinCount="100000" sheet="1" objects="1" scenarios="1"/>
  <mergeCells count="1">
    <mergeCell ref="G2:J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66FF66"/>
  </sheetPr>
  <dimension ref="A1:P41"/>
  <sheetViews>
    <sheetView zoomScale="102" zoomScaleNormal="102" workbookViewId="0">
      <selection activeCell="E30" sqref="E30"/>
    </sheetView>
  </sheetViews>
  <sheetFormatPr defaultColWidth="9.109375" defaultRowHeight="14.4"/>
  <cols>
    <col min="1" max="1" width="10.33203125" style="2" bestFit="1" customWidth="1"/>
    <col min="2" max="2" width="8.33203125" style="2" customWidth="1"/>
    <col min="3" max="3" width="9.77734375" style="2" customWidth="1"/>
    <col min="4" max="4" width="8.109375" style="2" bestFit="1" customWidth="1"/>
    <col min="5" max="5" width="7.77734375" style="2" customWidth="1"/>
    <col min="6" max="6" width="8.21875" style="2" customWidth="1"/>
    <col min="7" max="8" width="9.109375" style="2"/>
    <col min="9" max="9" width="10.77734375" style="2" bestFit="1" customWidth="1"/>
    <col min="10" max="14" width="9.109375" style="2"/>
    <col min="15" max="15" width="13.5546875" style="2" customWidth="1"/>
    <col min="16" max="16384" width="9.109375" style="2"/>
  </cols>
  <sheetData>
    <row r="1" spans="1:15">
      <c r="A1" s="14" t="s">
        <v>0</v>
      </c>
      <c r="B1" s="14" t="s">
        <v>4</v>
      </c>
      <c r="C1" s="2" t="s">
        <v>21</v>
      </c>
      <c r="D1" s="2" t="s">
        <v>20</v>
      </c>
      <c r="E1" s="2" t="s">
        <v>3</v>
      </c>
      <c r="F1" s="2" t="str">
        <f ca="1">IFERROR(_xlfn.STDEV.S($B$2:$B$21),"")</f>
        <v/>
      </c>
      <c r="I1" s="14" t="s">
        <v>0</v>
      </c>
      <c r="J1" s="14" t="s">
        <v>4</v>
      </c>
    </row>
    <row r="2" spans="1:15">
      <c r="A2" s="16" t="str">
        <f ca="1">IFERROR(IF(INDIRECT($O$8 &amp; "!B"&amp;ROW()+4)="","",INDIRECT($O$8 &amp; "!B"&amp;ROW()+4)),"")</f>
        <v/>
      </c>
      <c r="B2" s="25" t="str">
        <f ca="1">IFERROR(IF(INDIRECT($O$8 &amp; "!E"&amp;ROW()+4)="","",INDIRECT($O$8 &amp; "!E"&amp;ROW()+4)),"")</f>
        <v/>
      </c>
      <c r="C2" s="26" t="str">
        <f ca="1">IFERROR(IF(B2="",C1,3.267*E2),"")</f>
        <v>CL</v>
      </c>
      <c r="D2" s="26" t="str">
        <f ca="1">IFERROR(IF(B2="",D1,E2+((2/3)*(C2-E2))),"")</f>
        <v>WL</v>
      </c>
      <c r="E2" s="26" t="str">
        <f ca="1">IFERROR(1.128*$F$1,"")</f>
        <v/>
      </c>
      <c r="I2" s="16" t="str">
        <f ca="1">IFERROR(IF(INDIRECT($O$9 &amp; "!B"&amp;ROW()+4)="","",INDIRECT($O$9 &amp; "!B"&amp;ROW()+4)),"")</f>
        <v/>
      </c>
      <c r="J2" s="25" t="str">
        <f ca="1">IFERROR(IF(INDIRECT($O$9 &amp; "!E"&amp;ROW()+4)="","",INDIRECT($O$9 &amp; "!E"&amp;ROW()+4)),"")</f>
        <v/>
      </c>
    </row>
    <row r="3" spans="1:15">
      <c r="A3" s="16" t="str">
        <f ca="1">IFERROR(IF(INDIRECT($O$8 &amp; "!B"&amp;ROW()+4)="","",INDIRECT($O$8 &amp; "!B"&amp;ROW()+4)),"")</f>
        <v/>
      </c>
      <c r="B3" s="25" t="str">
        <f t="shared" ref="B3:B21" ca="1" si="0">IFERROR(IF(INDIRECT($O$8 &amp; "!E"&amp;ROW()+4)="","",INDIRECT($O$8 &amp; "!E"&amp;ROW()+4)),"")</f>
        <v/>
      </c>
      <c r="C3" s="26" t="str">
        <f t="shared" ref="C3:C21" ca="1" si="1">IF(B3="",C2,3.267*E3)</f>
        <v>CL</v>
      </c>
      <c r="D3" s="26" t="str">
        <f t="shared" ref="D3:D21" ca="1" si="2">IF(B3="",D2,E3+((2/3)*(C3-E3)))</f>
        <v>WL</v>
      </c>
      <c r="E3" s="26" t="str">
        <f t="shared" ref="E3:E21" ca="1" si="3">IFERROR(1.128*$F$1,"")</f>
        <v/>
      </c>
      <c r="I3" s="16" t="str">
        <f t="shared" ref="I3:I21" ca="1" si="4">IFERROR(IF(INDIRECT($O$9 &amp; "!B"&amp;ROW()+4)="","",INDIRECT($O$9 &amp; "!B"&amp;ROW()+4)),"")</f>
        <v/>
      </c>
      <c r="J3" s="25" t="str">
        <f t="shared" ref="J3:J21" ca="1" si="5">IFERROR(IF(INDIRECT($O$9 &amp; "!E"&amp;ROW()+4)="","",INDIRECT($O$9 &amp; "!E"&amp;ROW()+4)),"")</f>
        <v/>
      </c>
    </row>
    <row r="4" spans="1:15">
      <c r="A4" s="16" t="str">
        <f t="shared" ref="A4:A21" ca="1" si="6">IFERROR(IF(INDIRECT($O$8 &amp; "!B"&amp;ROW()+4)="","",INDIRECT($O$8 &amp; "!B"&amp;ROW()+4)),"")</f>
        <v/>
      </c>
      <c r="B4" s="25" t="str">
        <f t="shared" ca="1" si="0"/>
        <v/>
      </c>
      <c r="C4" s="26" t="str">
        <f t="shared" ca="1" si="1"/>
        <v>CL</v>
      </c>
      <c r="D4" s="26" t="str">
        <f t="shared" ca="1" si="2"/>
        <v>WL</v>
      </c>
      <c r="E4" s="26" t="str">
        <f t="shared" ca="1" si="3"/>
        <v/>
      </c>
      <c r="I4" s="16" t="str">
        <f t="shared" ca="1" si="4"/>
        <v/>
      </c>
      <c r="J4" s="25" t="str">
        <f t="shared" ca="1" si="5"/>
        <v/>
      </c>
    </row>
    <row r="5" spans="1:15">
      <c r="A5" s="16" t="str">
        <f t="shared" ca="1" si="6"/>
        <v/>
      </c>
      <c r="B5" s="25" t="str">
        <f t="shared" ca="1" si="0"/>
        <v/>
      </c>
      <c r="C5" s="26" t="str">
        <f t="shared" ca="1" si="1"/>
        <v>CL</v>
      </c>
      <c r="D5" s="26" t="str">
        <f t="shared" ca="1" si="2"/>
        <v>WL</v>
      </c>
      <c r="E5" s="26" t="str">
        <f t="shared" ca="1" si="3"/>
        <v/>
      </c>
      <c r="I5" s="16" t="str">
        <f t="shared" ca="1" si="4"/>
        <v/>
      </c>
      <c r="J5" s="25" t="str">
        <f t="shared" ca="1" si="5"/>
        <v/>
      </c>
    </row>
    <row r="6" spans="1:15">
      <c r="A6" s="16" t="str">
        <f t="shared" ca="1" si="6"/>
        <v/>
      </c>
      <c r="B6" s="25" t="str">
        <f t="shared" ca="1" si="0"/>
        <v/>
      </c>
      <c r="C6" s="26" t="str">
        <f t="shared" ca="1" si="1"/>
        <v>CL</v>
      </c>
      <c r="D6" s="26" t="str">
        <f t="shared" ca="1" si="2"/>
        <v>WL</v>
      </c>
      <c r="E6" s="26" t="str">
        <f t="shared" ca="1" si="3"/>
        <v/>
      </c>
      <c r="I6" s="16" t="str">
        <f t="shared" ca="1" si="4"/>
        <v/>
      </c>
      <c r="J6" s="25" t="str">
        <f t="shared" ca="1" si="5"/>
        <v/>
      </c>
      <c r="O6" s="27"/>
    </row>
    <row r="7" spans="1:15">
      <c r="A7" s="16" t="str">
        <f t="shared" ca="1" si="6"/>
        <v/>
      </c>
      <c r="B7" s="25" t="str">
        <f t="shared" ca="1" si="0"/>
        <v/>
      </c>
      <c r="C7" s="26" t="str">
        <f t="shared" ca="1" si="1"/>
        <v>CL</v>
      </c>
      <c r="D7" s="26" t="str">
        <f t="shared" ca="1" si="2"/>
        <v>WL</v>
      </c>
      <c r="E7" s="26" t="str">
        <f t="shared" ca="1" si="3"/>
        <v/>
      </c>
      <c r="I7" s="16" t="str">
        <f t="shared" ca="1" si="4"/>
        <v/>
      </c>
      <c r="J7" s="25" t="str">
        <f t="shared" ca="1" si="5"/>
        <v/>
      </c>
      <c r="O7" s="28"/>
    </row>
    <row r="8" spans="1:15">
      <c r="A8" s="16" t="str">
        <f t="shared" ca="1" si="6"/>
        <v/>
      </c>
      <c r="B8" s="25" t="str">
        <f t="shared" ca="1" si="0"/>
        <v/>
      </c>
      <c r="C8" s="26" t="str">
        <f t="shared" ca="1" si="1"/>
        <v>CL</v>
      </c>
      <c r="D8" s="26" t="str">
        <f t="shared" ca="1" si="2"/>
        <v>WL</v>
      </c>
      <c r="E8" s="26" t="str">
        <f t="shared" ca="1" si="3"/>
        <v/>
      </c>
      <c r="I8" s="16" t="str">
        <f t="shared" ca="1" si="4"/>
        <v/>
      </c>
      <c r="J8" s="25" t="str">
        <f t="shared" ca="1" si="5"/>
        <v/>
      </c>
      <c r="O8" s="28" t="s">
        <v>23</v>
      </c>
    </row>
    <row r="9" spans="1:15">
      <c r="A9" s="16" t="str">
        <f t="shared" ca="1" si="6"/>
        <v/>
      </c>
      <c r="B9" s="25" t="str">
        <f t="shared" ca="1" si="0"/>
        <v/>
      </c>
      <c r="C9" s="26" t="str">
        <f t="shared" ca="1" si="1"/>
        <v>CL</v>
      </c>
      <c r="D9" s="26" t="str">
        <f t="shared" ca="1" si="2"/>
        <v>WL</v>
      </c>
      <c r="E9" s="26" t="str">
        <f t="shared" ca="1" si="3"/>
        <v/>
      </c>
      <c r="I9" s="16" t="str">
        <f t="shared" ca="1" si="4"/>
        <v/>
      </c>
      <c r="J9" s="25" t="str">
        <f t="shared" ca="1" si="5"/>
        <v/>
      </c>
      <c r="O9" s="28" t="s">
        <v>24</v>
      </c>
    </row>
    <row r="10" spans="1:15">
      <c r="A10" s="16" t="str">
        <f t="shared" ca="1" si="6"/>
        <v/>
      </c>
      <c r="B10" s="25" t="str">
        <f t="shared" ca="1" si="0"/>
        <v/>
      </c>
      <c r="C10" s="26" t="str">
        <f t="shared" ca="1" si="1"/>
        <v>CL</v>
      </c>
      <c r="D10" s="26" t="str">
        <f t="shared" ca="1" si="2"/>
        <v>WL</v>
      </c>
      <c r="E10" s="26" t="str">
        <f t="shared" ca="1" si="3"/>
        <v/>
      </c>
      <c r="I10" s="16" t="str">
        <f t="shared" ca="1" si="4"/>
        <v/>
      </c>
      <c r="J10" s="25" t="str">
        <f t="shared" ca="1" si="5"/>
        <v/>
      </c>
      <c r="O10" s="27"/>
    </row>
    <row r="11" spans="1:15">
      <c r="A11" s="16" t="str">
        <f t="shared" ca="1" si="6"/>
        <v/>
      </c>
      <c r="B11" s="25" t="str">
        <f t="shared" ca="1" si="0"/>
        <v/>
      </c>
      <c r="C11" s="26" t="str">
        <f t="shared" ca="1" si="1"/>
        <v>CL</v>
      </c>
      <c r="D11" s="26" t="str">
        <f t="shared" ca="1" si="2"/>
        <v>WL</v>
      </c>
      <c r="E11" s="26" t="str">
        <f t="shared" ca="1" si="3"/>
        <v/>
      </c>
      <c r="I11" s="16" t="str">
        <f t="shared" ca="1" si="4"/>
        <v/>
      </c>
      <c r="J11" s="25" t="str">
        <f t="shared" ca="1" si="5"/>
        <v/>
      </c>
      <c r="O11" s="27"/>
    </row>
    <row r="12" spans="1:15">
      <c r="A12" s="16" t="str">
        <f t="shared" ca="1" si="6"/>
        <v/>
      </c>
      <c r="B12" s="25" t="str">
        <f t="shared" ca="1" si="0"/>
        <v/>
      </c>
      <c r="C12" s="26" t="str">
        <f t="shared" ca="1" si="1"/>
        <v>CL</v>
      </c>
      <c r="D12" s="26" t="str">
        <f t="shared" ca="1" si="2"/>
        <v>WL</v>
      </c>
      <c r="E12" s="26" t="str">
        <f t="shared" ca="1" si="3"/>
        <v/>
      </c>
      <c r="I12" s="16" t="str">
        <f t="shared" ca="1" si="4"/>
        <v/>
      </c>
      <c r="J12" s="25" t="str">
        <f t="shared" ca="1" si="5"/>
        <v/>
      </c>
    </row>
    <row r="13" spans="1:15">
      <c r="A13" s="16" t="str">
        <f t="shared" ca="1" si="6"/>
        <v/>
      </c>
      <c r="B13" s="25" t="str">
        <f t="shared" ca="1" si="0"/>
        <v/>
      </c>
      <c r="C13" s="26" t="str">
        <f t="shared" ca="1" si="1"/>
        <v>CL</v>
      </c>
      <c r="D13" s="26" t="str">
        <f t="shared" ca="1" si="2"/>
        <v>WL</v>
      </c>
      <c r="E13" s="26" t="str">
        <f t="shared" ca="1" si="3"/>
        <v/>
      </c>
      <c r="I13" s="16" t="str">
        <f t="shared" ca="1" si="4"/>
        <v/>
      </c>
      <c r="J13" s="25" t="str">
        <f t="shared" ca="1" si="5"/>
        <v/>
      </c>
    </row>
    <row r="14" spans="1:15">
      <c r="A14" s="16" t="str">
        <f t="shared" ca="1" si="6"/>
        <v/>
      </c>
      <c r="B14" s="25" t="str">
        <f t="shared" ca="1" si="0"/>
        <v/>
      </c>
      <c r="C14" s="26" t="str">
        <f t="shared" ca="1" si="1"/>
        <v>CL</v>
      </c>
      <c r="D14" s="26" t="str">
        <f t="shared" ca="1" si="2"/>
        <v>WL</v>
      </c>
      <c r="E14" s="26" t="str">
        <f t="shared" ca="1" si="3"/>
        <v/>
      </c>
      <c r="I14" s="16" t="str">
        <f t="shared" ca="1" si="4"/>
        <v/>
      </c>
      <c r="J14" s="25" t="str">
        <f t="shared" ca="1" si="5"/>
        <v/>
      </c>
    </row>
    <row r="15" spans="1:15">
      <c r="A15" s="16" t="str">
        <f t="shared" ca="1" si="6"/>
        <v/>
      </c>
      <c r="B15" s="25" t="str">
        <f t="shared" ca="1" si="0"/>
        <v/>
      </c>
      <c r="C15" s="26" t="str">
        <f t="shared" ca="1" si="1"/>
        <v>CL</v>
      </c>
      <c r="D15" s="26" t="str">
        <f t="shared" ca="1" si="2"/>
        <v>WL</v>
      </c>
      <c r="E15" s="26" t="str">
        <f t="shared" ca="1" si="3"/>
        <v/>
      </c>
      <c r="I15" s="16" t="str">
        <f t="shared" ca="1" si="4"/>
        <v/>
      </c>
      <c r="J15" s="25" t="str">
        <f t="shared" ca="1" si="5"/>
        <v/>
      </c>
    </row>
    <row r="16" spans="1:15">
      <c r="A16" s="16" t="str">
        <f t="shared" ca="1" si="6"/>
        <v/>
      </c>
      <c r="B16" s="25" t="str">
        <f t="shared" ca="1" si="0"/>
        <v/>
      </c>
      <c r="C16" s="26" t="str">
        <f t="shared" ca="1" si="1"/>
        <v>CL</v>
      </c>
      <c r="D16" s="26" t="str">
        <f t="shared" ca="1" si="2"/>
        <v>WL</v>
      </c>
      <c r="E16" s="26" t="str">
        <f t="shared" ca="1" si="3"/>
        <v/>
      </c>
      <c r="I16" s="16" t="str">
        <f t="shared" ca="1" si="4"/>
        <v/>
      </c>
      <c r="J16" s="25" t="str">
        <f t="shared" ca="1" si="5"/>
        <v/>
      </c>
    </row>
    <row r="17" spans="1:16">
      <c r="A17" s="16" t="str">
        <f t="shared" ca="1" si="6"/>
        <v/>
      </c>
      <c r="B17" s="25" t="str">
        <f t="shared" ca="1" si="0"/>
        <v/>
      </c>
      <c r="C17" s="26" t="str">
        <f t="shared" ca="1" si="1"/>
        <v>CL</v>
      </c>
      <c r="D17" s="26" t="str">
        <f t="shared" ca="1" si="2"/>
        <v>WL</v>
      </c>
      <c r="E17" s="26" t="str">
        <f t="shared" ca="1" si="3"/>
        <v/>
      </c>
      <c r="I17" s="16" t="str">
        <f t="shared" ca="1" si="4"/>
        <v/>
      </c>
      <c r="J17" s="25" t="str">
        <f t="shared" ca="1" si="5"/>
        <v/>
      </c>
      <c r="P17" s="20"/>
    </row>
    <row r="18" spans="1:16">
      <c r="A18" s="16" t="str">
        <f t="shared" ca="1" si="6"/>
        <v/>
      </c>
      <c r="B18" s="25" t="str">
        <f t="shared" ca="1" si="0"/>
        <v/>
      </c>
      <c r="C18" s="26" t="str">
        <f t="shared" ca="1" si="1"/>
        <v>CL</v>
      </c>
      <c r="D18" s="26" t="str">
        <f t="shared" ca="1" si="2"/>
        <v>WL</v>
      </c>
      <c r="E18" s="26" t="str">
        <f t="shared" ca="1" si="3"/>
        <v/>
      </c>
      <c r="I18" s="16" t="str">
        <f t="shared" ca="1" si="4"/>
        <v/>
      </c>
      <c r="J18" s="25" t="str">
        <f t="shared" ca="1" si="5"/>
        <v/>
      </c>
    </row>
    <row r="19" spans="1:16">
      <c r="A19" s="16" t="str">
        <f t="shared" ca="1" si="6"/>
        <v/>
      </c>
      <c r="B19" s="25" t="str">
        <f t="shared" ca="1" si="0"/>
        <v/>
      </c>
      <c r="C19" s="26" t="str">
        <f t="shared" ca="1" si="1"/>
        <v>CL</v>
      </c>
      <c r="D19" s="26" t="str">
        <f t="shared" ca="1" si="2"/>
        <v>WL</v>
      </c>
      <c r="E19" s="26" t="str">
        <f t="shared" ca="1" si="3"/>
        <v/>
      </c>
      <c r="I19" s="16" t="str">
        <f t="shared" ca="1" si="4"/>
        <v/>
      </c>
      <c r="J19" s="25" t="str">
        <f t="shared" ca="1" si="5"/>
        <v/>
      </c>
    </row>
    <row r="20" spans="1:16">
      <c r="A20" s="16" t="str">
        <f t="shared" ca="1" si="6"/>
        <v/>
      </c>
      <c r="B20" s="25" t="str">
        <f t="shared" ca="1" si="0"/>
        <v/>
      </c>
      <c r="C20" s="26" t="str">
        <f t="shared" ca="1" si="1"/>
        <v>CL</v>
      </c>
      <c r="D20" s="26" t="str">
        <f t="shared" ca="1" si="2"/>
        <v>WL</v>
      </c>
      <c r="E20" s="26" t="str">
        <f t="shared" ca="1" si="3"/>
        <v/>
      </c>
      <c r="I20" s="16" t="str">
        <f t="shared" ca="1" si="4"/>
        <v/>
      </c>
      <c r="J20" s="25" t="str">
        <f t="shared" ca="1" si="5"/>
        <v/>
      </c>
    </row>
    <row r="21" spans="1:16">
      <c r="A21" s="16" t="str">
        <f t="shared" ca="1" si="6"/>
        <v/>
      </c>
      <c r="B21" s="25" t="str">
        <f t="shared" ca="1" si="0"/>
        <v/>
      </c>
      <c r="C21" s="26" t="str">
        <f t="shared" ca="1" si="1"/>
        <v>CL</v>
      </c>
      <c r="D21" s="26" t="str">
        <f t="shared" ca="1" si="2"/>
        <v>WL</v>
      </c>
      <c r="E21" s="26" t="str">
        <f t="shared" ca="1" si="3"/>
        <v/>
      </c>
      <c r="I21" s="16" t="str">
        <f t="shared" ca="1" si="4"/>
        <v/>
      </c>
      <c r="J21" s="25" t="str">
        <f t="shared" ca="1" si="5"/>
        <v/>
      </c>
    </row>
    <row r="22" spans="1:16">
      <c r="A22" s="16"/>
      <c r="C22" s="15"/>
      <c r="D22" s="15"/>
      <c r="E22" s="15"/>
      <c r="J22" s="16"/>
    </row>
    <row r="23" spans="1:16">
      <c r="A23" s="16"/>
      <c r="C23" s="15"/>
      <c r="D23" s="15"/>
      <c r="E23" s="15"/>
    </row>
    <row r="24" spans="1:16">
      <c r="A24" s="16"/>
      <c r="C24" s="15"/>
      <c r="D24" s="15"/>
      <c r="E24" s="15"/>
    </row>
    <row r="25" spans="1:16">
      <c r="A25" s="16"/>
      <c r="C25" s="15"/>
      <c r="D25" s="15"/>
      <c r="E25" s="15"/>
    </row>
    <row r="26" spans="1:16">
      <c r="A26" s="16"/>
      <c r="C26" s="15"/>
      <c r="D26" s="15"/>
      <c r="E26" s="15"/>
    </row>
    <row r="27" spans="1:16">
      <c r="A27" s="16"/>
      <c r="C27" s="15"/>
      <c r="D27" s="15"/>
      <c r="E27" s="15"/>
    </row>
    <row r="28" spans="1:16">
      <c r="A28" s="16"/>
      <c r="C28" s="15"/>
      <c r="D28" s="15"/>
      <c r="E28" s="15"/>
    </row>
    <row r="29" spans="1:16">
      <c r="A29" s="16"/>
      <c r="C29" s="15"/>
      <c r="D29" s="15"/>
      <c r="E29" s="15"/>
    </row>
    <row r="30" spans="1:16">
      <c r="A30" s="16"/>
      <c r="C30" s="15"/>
      <c r="D30" s="15"/>
      <c r="E30" s="15"/>
    </row>
    <row r="31" spans="1:16">
      <c r="C31" s="15"/>
      <c r="D31" s="15"/>
      <c r="E31" s="15"/>
    </row>
    <row r="32" spans="1:16">
      <c r="C32" s="15"/>
      <c r="D32" s="15"/>
      <c r="E32" s="15"/>
    </row>
    <row r="33" spans="3:5">
      <c r="C33" s="15"/>
      <c r="D33" s="15"/>
      <c r="E33" s="15"/>
    </row>
    <row r="34" spans="3:5">
      <c r="C34" s="15"/>
      <c r="D34" s="15"/>
      <c r="E34" s="15"/>
    </row>
    <row r="35" spans="3:5">
      <c r="C35" s="15"/>
      <c r="D35" s="15"/>
      <c r="E35" s="15"/>
    </row>
    <row r="36" spans="3:5">
      <c r="C36" s="15"/>
      <c r="D36" s="15"/>
      <c r="E36" s="15"/>
    </row>
    <row r="37" spans="3:5">
      <c r="C37" s="15"/>
      <c r="D37" s="15"/>
      <c r="E37" s="15"/>
    </row>
    <row r="38" spans="3:5">
      <c r="C38" s="15"/>
      <c r="D38" s="15"/>
      <c r="E38" s="15"/>
    </row>
    <row r="39" spans="3:5">
      <c r="C39" s="15"/>
      <c r="D39" s="15"/>
      <c r="E39" s="15"/>
    </row>
    <row r="40" spans="3:5">
      <c r="C40" s="15"/>
      <c r="D40" s="15"/>
      <c r="E40" s="15"/>
    </row>
    <row r="41" spans="3:5">
      <c r="C41" s="15"/>
      <c r="D41" s="15"/>
      <c r="E41" s="15"/>
    </row>
  </sheetData>
  <sheetProtection algorithmName="SHA-512" hashValue="7OoPT3J3+xAZ0nmmGfxEiBPNW7wkLd6zj3Elzq+8qw9mJZhki6hNdpQ8ahcqog9mN4unsQiKyk7dSO0ydFbH1A==" saltValue="Tl9jg/WjRfsmYwbojh4xsg==" spinCount="100000" sheet="1" objects="1" scenarios="1"/>
  <pageMargins left="0.7" right="0.7" top="0.75" bottom="0.75" header="0.3" footer="0.3"/>
  <pageSetup paperSize="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S7:S13"/>
  <sheetViews>
    <sheetView zoomScaleNormal="100" workbookViewId="0">
      <selection activeCell="S43" sqref="S43"/>
    </sheetView>
  </sheetViews>
  <sheetFormatPr defaultRowHeight="14.4"/>
  <sheetData>
    <row r="7" spans="19:19">
      <c r="S7" s="29" t="str">
        <f>'RPD chart '!O8</f>
        <v>Main</v>
      </c>
    </row>
    <row r="11" spans="19:19">
      <c r="S11" s="23" t="str">
        <f ca="1">CONCATENATE(S7," ", INDIRECT("'" &amp; S7 &amp; "'!C3")," RPD Chart")</f>
        <v>Main pH RPD Chart</v>
      </c>
    </row>
    <row r="13" spans="19:19" ht="22.8">
      <c r="S13" s="21"/>
    </row>
  </sheetData>
  <sheetProtection algorithmName="SHA-512" hashValue="TJr6iopoEnYlvrvra3I5ErLmrD0PVRta+Zg5zlVX75dwzefxcm9OJiQBnOJtmAVWLgLrmQI1kgL74plyVQDGMw==" saltValue="lDaRdRG5l6CScvhuSR3FbQ==" spinCount="100000" sheet="1" objects="1" scenarios="1"/>
  <pageMargins left="0.7" right="0.7" top="0.75" bottom="0.75" header="0.3" footer="0.3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Main</vt:lpstr>
      <vt:lpstr>Sample</vt:lpstr>
      <vt:lpstr>RPD chart </vt:lpstr>
      <vt:lpstr>RPD chart Graph</vt:lpstr>
      <vt:lpstr>'RPD chart '!Print_Area</vt:lpstr>
      <vt:lpstr>'RPD chart Graph'!Print_Area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LJdata Data LJdata Data COD HR Data COD HR x1-x2 Data</dc:title>
  <dc:creator/>
  <dc:description>Charts created with QI Macros for Excel_x000d_
www.qimacros.com_x000d_
Charts created with QI Macros for Excel_x000d_
www.qimacros.com_x000d_
Charts created with QI Macros for Excel_x000d_
www.qimacros.com_x000d_
Charts created with QI Macros for Excel_x000d_
www.qimacros.com</dc:description>
  <cp:lastModifiedBy/>
  <dcterms:created xsi:type="dcterms:W3CDTF">2006-09-16T00:00:00Z</dcterms:created>
  <dcterms:modified xsi:type="dcterms:W3CDTF">2026-01-12T14:49:48Z</dcterms:modified>
</cp:coreProperties>
</file>